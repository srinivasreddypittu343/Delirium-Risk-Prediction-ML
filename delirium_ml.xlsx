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tabRatio="500"/>
  </bookViews>
  <sheets>
    <sheet name="Data" sheetId="1" r:id="rId1"/>
    <sheet name="Description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<sst xmlns="http://schemas.openxmlformats.org/spreadsheetml/2006/main" count="144" uniqueCount="89">
  <si>
    <t>SN</t>
  </si>
  <si>
    <t>Gender</t>
  </si>
  <si>
    <t>Age</t>
  </si>
  <si>
    <t>ASA</t>
  </si>
  <si>
    <t>Anesthesia</t>
  </si>
  <si>
    <t>Height</t>
  </si>
  <si>
    <t>Weight</t>
  </si>
  <si>
    <t>BMI</t>
  </si>
  <si>
    <t>HTN</t>
  </si>
  <si>
    <t>DM</t>
  </si>
  <si>
    <t>CAD</t>
  </si>
  <si>
    <t>Stroke</t>
  </si>
  <si>
    <t>Diagnosis</t>
  </si>
  <si>
    <t>Surgery</t>
  </si>
  <si>
    <t>DuraSurg</t>
  </si>
  <si>
    <t>DuraAnes</t>
  </si>
  <si>
    <t>Infusion</t>
  </si>
  <si>
    <t>Blood loss</t>
  </si>
  <si>
    <t>Urine Output</t>
  </si>
  <si>
    <t>Intraop CRC</t>
  </si>
  <si>
    <t>Intraop FFP</t>
  </si>
  <si>
    <t>Postop CRC</t>
  </si>
  <si>
    <t>Postop FFP</t>
  </si>
  <si>
    <t>Intraop Blood product</t>
  </si>
  <si>
    <t>Postop Blood product</t>
  </si>
  <si>
    <t>Blood product</t>
  </si>
  <si>
    <t>Vasopressor</t>
  </si>
  <si>
    <t>ICU</t>
  </si>
  <si>
    <t>Pneumonia</t>
  </si>
  <si>
    <t>DVT／PE</t>
  </si>
  <si>
    <t>Postop Delirium</t>
  </si>
  <si>
    <t>Preparation days</t>
  </si>
  <si>
    <t>Postop Length of Stay</t>
  </si>
  <si>
    <t>Frailty Index</t>
  </si>
  <si>
    <t>Hct</t>
  </si>
  <si>
    <t>Alb</t>
  </si>
  <si>
    <t>Cre</t>
  </si>
  <si>
    <t>192</t>
  </si>
  <si>
    <t>150</t>
  </si>
  <si>
    <t>900</t>
  </si>
  <si>
    <t>172</t>
  </si>
  <si>
    <t>400</t>
  </si>
  <si>
    <t>300</t>
  </si>
  <si>
    <t>194</t>
  </si>
  <si>
    <t>10</t>
  </si>
  <si>
    <t>200</t>
  </si>
  <si>
    <t>175</t>
  </si>
  <si>
    <t>20</t>
  </si>
  <si>
    <t>132</t>
  </si>
  <si>
    <t>15</t>
  </si>
  <si>
    <t>50</t>
  </si>
  <si>
    <t>142</t>
  </si>
  <si>
    <t>100</t>
  </si>
  <si>
    <t>242</t>
  </si>
  <si>
    <t>500</t>
  </si>
  <si>
    <t>184</t>
  </si>
  <si>
    <t>148</t>
  </si>
  <si>
    <t>101</t>
  </si>
  <si>
    <t>0</t>
  </si>
  <si>
    <t>249</t>
  </si>
  <si>
    <t>138</t>
  </si>
  <si>
    <t>178</t>
  </si>
  <si>
    <t>289</t>
  </si>
  <si>
    <t>119</t>
  </si>
  <si>
    <t>110</t>
  </si>
  <si>
    <t>?</t>
  </si>
  <si>
    <t>143</t>
  </si>
  <si>
    <t>243</t>
  </si>
  <si>
    <t>600</t>
  </si>
  <si>
    <t>208</t>
  </si>
  <si>
    <t>220</t>
  </si>
  <si>
    <t>206</t>
  </si>
  <si>
    <t>153</t>
  </si>
  <si>
    <t>134</t>
  </si>
  <si>
    <t>140</t>
  </si>
  <si>
    <t>107</t>
  </si>
  <si>
    <t>139</t>
  </si>
  <si>
    <t>420</t>
  </si>
  <si>
    <t>159</t>
  </si>
  <si>
    <t>127</t>
  </si>
  <si>
    <t>296</t>
  </si>
  <si>
    <t>130</t>
  </si>
  <si>
    <t>17天死亡</t>
  </si>
  <si>
    <t>26死亡</t>
  </si>
  <si>
    <t>50死亡</t>
  </si>
  <si>
    <t>40天死亡</t>
  </si>
  <si>
    <t>Gender 1= Male 2= Female</t>
  </si>
  <si>
    <t xml:space="preserve"> </t>
  </si>
  <si>
    <t>Anesthesia 1= general anesthesia 2= spinal anesthesia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</si>
</sst>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2"/>
      <color theme="1"/>
      <name val="Calibri"/>
      <charset val="134"/>
      <scheme val="minor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rgb="FFFF0000"/>
      <name val="Abadi MT Condensed Extra Bol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1" xfId="0" applyFont="1" applyFill="1" applyBorder="1" applyAlignment="1"/>
    <xf numFmtId="0" fontId="0" fillId="2" borderId="1" xfId="0" applyFill="1" applyBorder="1"/>
    <xf numFmtId="0" fontId="1" fillId="2" borderId="1" xfId="0" applyFont="1" applyFill="1" applyBorder="1" applyAlignment="1"/>
    <xf numFmtId="0" fontId="1" fillId="2" borderId="1" xfId="0" applyNumberFormat="1" applyFont="1" applyFill="1" applyBorder="1" applyAlignment="1"/>
    <xf numFmtId="0" fontId="0" fillId="2" borderId="1" xfId="0" applyNumberFormat="1" applyFont="1" applyFill="1" applyBorder="1" applyAlignment="1"/>
    <xf numFmtId="0" fontId="0" fillId="2" borderId="1" xfId="3" applyNumberFormat="1" applyFont="1" applyFill="1" applyBorder="1" applyAlignment="1"/>
    <xf numFmtId="0" fontId="0" fillId="2" borderId="1" xfId="1" applyNumberFormat="1" applyFont="1" applyFill="1" applyBorder="1" applyAlignment="1"/>
    <xf numFmtId="0" fontId="2" fillId="2" borderId="1" xfId="0" applyFont="1" applyFill="1" applyBorder="1" applyAlignment="1"/>
    <xf numFmtId="0" fontId="0" fillId="2" borderId="1" xfId="3" applyNumberFormat="1" applyFont="1" applyFill="1" applyBorder="1" applyAlignment="1" applyProtection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1" fillId="2" borderId="1" xfId="0" applyNumberFormat="1" applyFont="1" applyFill="1" applyBorder="1" applyAlignment="1" quotePrefix="1"/>
    <xf numFmtId="0" fontId="0" fillId="2" borderId="1" xfId="0" applyNumberFormat="1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6"/>
  <sheetViews>
    <sheetView tabSelected="1" workbookViewId="0">
      <selection activeCell="E4" sqref="E4"/>
    </sheetView>
  </sheetViews>
  <sheetFormatPr defaultColWidth="12.1666666666667" defaultRowHeight="15.6"/>
  <cols>
    <col min="1" max="1" width="5.66666666666667" style="1" customWidth="1"/>
    <col min="2" max="2" width="4.66666666666667" style="1" customWidth="1"/>
    <col min="3" max="3" width="6.16666666666667" style="1" customWidth="1"/>
    <col min="4" max="5" width="8.33333333333333" style="1" customWidth="1"/>
    <col min="6" max="8" width="6.16666666666667" style="1" customWidth="1"/>
    <col min="9" max="9" width="5.66666666666667" style="1" customWidth="1"/>
    <col min="10" max="10" width="6.16666666666667" style="1" customWidth="1"/>
    <col min="11" max="11" width="5.66666666666667" style="1" customWidth="1"/>
    <col min="12" max="12" width="10.5" style="1" customWidth="1"/>
    <col min="13" max="13" width="10.8333333333333" style="1" customWidth="1"/>
    <col min="14" max="14" width="10.6666666666667" style="1" customWidth="1"/>
    <col min="15" max="15" width="7.33333333333333" style="1" customWidth="1"/>
    <col min="16" max="16" width="5.66666666666667" style="1" customWidth="1"/>
    <col min="17" max="17" width="10.3333333333333" style="1" customWidth="1"/>
    <col min="18" max="18" width="12.1666666666667" style="1" customWidth="1"/>
    <col min="19" max="19" width="7.66666666666667" style="1" customWidth="1"/>
    <col min="20" max="20" width="11" style="1" customWidth="1"/>
    <col min="21" max="21" width="10.3333333333333" style="1" customWidth="1"/>
    <col min="22" max="22" width="11.8333333333333" style="1" customWidth="1"/>
    <col min="23" max="23" width="9.16666666666667" style="1" customWidth="1"/>
    <col min="24" max="24" width="10.5" style="1" customWidth="1"/>
    <col min="25" max="25" width="13.5" style="1" customWidth="1"/>
    <col min="26" max="26" width="7.16666666666667" style="1" customWidth="1"/>
    <col min="27" max="27" width="9.16666666666667" style="1" customWidth="1"/>
    <col min="28" max="29" width="10" style="1" customWidth="1"/>
    <col min="30" max="30" width="9" style="1" customWidth="1"/>
    <col min="31" max="31" width="12.6666666666667" style="1" customWidth="1"/>
    <col min="32" max="32" width="12" style="1" customWidth="1"/>
    <col min="33" max="33" width="13.6666666666667" style="1" customWidth="1"/>
    <col min="34" max="226" width="12.1666666666667" style="1"/>
    <col min="227" max="16384" width="12.1666666666667" style="2"/>
  </cols>
  <sheetData>
    <row r="1" s="1" customFormat="1" spans="1:37">
      <c r="A1" s="3" t="s">
        <v>0</v>
      </c>
      <c r="B1" s="4" t="s">
        <v>1</v>
      </c>
      <c r="C1" s="4" t="s">
        <v>2</v>
      </c>
      <c r="D1" s="4" t="s">
        <v>3</v>
      </c>
      <c r="E1" s="1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2" t="s">
        <v>12</v>
      </c>
      <c r="N1" s="12" t="s">
        <v>13</v>
      </c>
      <c r="O1" s="4" t="s">
        <v>14</v>
      </c>
      <c r="P1" s="12" t="s">
        <v>15</v>
      </c>
      <c r="Q1" s="4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12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6" t="s">
        <v>34</v>
      </c>
      <c r="AJ1" s="7" t="s">
        <v>35</v>
      </c>
      <c r="AK1" s="7" t="s">
        <v>36</v>
      </c>
    </row>
    <row r="2" s="1" customFormat="1" spans="1:37">
      <c r="A2" s="1">
        <v>1</v>
      </c>
      <c r="B2" s="1">
        <v>2</v>
      </c>
      <c r="C2" s="5">
        <v>84</v>
      </c>
      <c r="D2" s="5">
        <v>2</v>
      </c>
      <c r="E2" s="5">
        <v>2</v>
      </c>
      <c r="F2" s="5">
        <v>161</v>
      </c>
      <c r="G2" s="5">
        <v>62</v>
      </c>
      <c r="H2" s="1">
        <f t="shared" ref="H2:H65" si="0">G2/(F2/100)^2</f>
        <v>23.9188302920412</v>
      </c>
      <c r="I2" s="5">
        <v>1</v>
      </c>
      <c r="J2" s="5">
        <v>0</v>
      </c>
      <c r="K2" s="5">
        <v>1</v>
      </c>
      <c r="L2" s="1">
        <v>0</v>
      </c>
      <c r="M2" s="5">
        <v>2</v>
      </c>
      <c r="N2" s="5">
        <v>4</v>
      </c>
      <c r="O2" s="5">
        <v>60</v>
      </c>
      <c r="P2" s="13" t="s">
        <v>37</v>
      </c>
      <c r="Q2" s="5">
        <v>1000</v>
      </c>
      <c r="R2" s="13" t="s">
        <v>38</v>
      </c>
      <c r="S2" s="13" t="s">
        <v>39</v>
      </c>
      <c r="T2" s="1">
        <v>0</v>
      </c>
      <c r="U2" s="1">
        <v>0</v>
      </c>
      <c r="V2" s="5">
        <v>400</v>
      </c>
      <c r="W2" s="5">
        <v>400</v>
      </c>
      <c r="X2" s="5">
        <v>0</v>
      </c>
      <c r="Y2" s="5">
        <v>1</v>
      </c>
      <c r="Z2" s="5">
        <v>1</v>
      </c>
      <c r="AA2" s="1">
        <v>0</v>
      </c>
      <c r="AB2" s="5">
        <v>0</v>
      </c>
      <c r="AC2" s="5">
        <v>0</v>
      </c>
      <c r="AD2" s="5">
        <v>0</v>
      </c>
      <c r="AE2" s="5">
        <v>0</v>
      </c>
      <c r="AF2" s="5">
        <v>10</v>
      </c>
      <c r="AG2" s="5">
        <v>4</v>
      </c>
      <c r="AH2" s="1">
        <v>1</v>
      </c>
      <c r="AI2" s="6">
        <v>0.353</v>
      </c>
      <c r="AJ2" s="7">
        <v>34.8</v>
      </c>
      <c r="AK2" s="7">
        <v>53</v>
      </c>
    </row>
    <row r="3" s="1" customFormat="1" spans="1:37">
      <c r="A3" s="1">
        <v>2</v>
      </c>
      <c r="B3" s="5">
        <v>2</v>
      </c>
      <c r="C3" s="5">
        <v>87</v>
      </c>
      <c r="D3" s="5">
        <v>2</v>
      </c>
      <c r="E3" s="5">
        <v>2</v>
      </c>
      <c r="F3" s="5">
        <v>153</v>
      </c>
      <c r="G3" s="5">
        <v>40</v>
      </c>
      <c r="H3" s="1">
        <f t="shared" si="0"/>
        <v>17.0874449997864</v>
      </c>
      <c r="I3" s="5">
        <v>1</v>
      </c>
      <c r="J3" s="5">
        <v>0</v>
      </c>
      <c r="K3" s="5">
        <v>0</v>
      </c>
      <c r="L3" s="5">
        <v>0</v>
      </c>
      <c r="M3" s="5">
        <v>2</v>
      </c>
      <c r="N3" s="5">
        <v>4</v>
      </c>
      <c r="O3" s="5">
        <v>85</v>
      </c>
      <c r="P3" s="13" t="s">
        <v>40</v>
      </c>
      <c r="Q3" s="5">
        <v>700</v>
      </c>
      <c r="R3" s="13" t="s">
        <v>41</v>
      </c>
      <c r="S3" s="13" t="s">
        <v>42</v>
      </c>
      <c r="T3" s="1">
        <v>0</v>
      </c>
      <c r="U3" s="1">
        <v>0</v>
      </c>
      <c r="V3" s="1">
        <v>0</v>
      </c>
      <c r="W3" s="1">
        <v>0</v>
      </c>
      <c r="X3" s="5">
        <v>0</v>
      </c>
      <c r="Y3" s="5">
        <v>0</v>
      </c>
      <c r="Z3" s="5">
        <v>0</v>
      </c>
      <c r="AA3" s="1">
        <v>1</v>
      </c>
      <c r="AB3" s="5">
        <v>0</v>
      </c>
      <c r="AC3" s="5">
        <v>0</v>
      </c>
      <c r="AD3" s="5">
        <v>0</v>
      </c>
      <c r="AE3" s="5">
        <v>0</v>
      </c>
      <c r="AF3" s="5">
        <v>7</v>
      </c>
      <c r="AG3" s="5">
        <v>17</v>
      </c>
      <c r="AH3" s="1">
        <v>4</v>
      </c>
      <c r="AI3" s="6">
        <v>0.259</v>
      </c>
      <c r="AJ3" s="7">
        <v>29.3</v>
      </c>
      <c r="AK3" s="7">
        <v>61</v>
      </c>
    </row>
    <row r="4" s="1" customFormat="1" spans="1:37">
      <c r="A4" s="1">
        <v>3</v>
      </c>
      <c r="B4" s="1">
        <v>2</v>
      </c>
      <c r="C4" s="5">
        <v>74</v>
      </c>
      <c r="D4" s="5">
        <v>2</v>
      </c>
      <c r="E4" s="5">
        <v>2</v>
      </c>
      <c r="F4" s="5">
        <v>162</v>
      </c>
      <c r="G4" s="5">
        <v>65</v>
      </c>
      <c r="H4" s="1">
        <f t="shared" si="0"/>
        <v>24.7675659198293</v>
      </c>
      <c r="I4" s="5">
        <v>1</v>
      </c>
      <c r="J4" s="5">
        <v>0</v>
      </c>
      <c r="K4" s="5">
        <v>0</v>
      </c>
      <c r="L4" s="5">
        <v>0</v>
      </c>
      <c r="M4" s="5">
        <v>2</v>
      </c>
      <c r="N4" s="5">
        <v>4</v>
      </c>
      <c r="O4" s="5">
        <v>70</v>
      </c>
      <c r="P4" s="13" t="s">
        <v>43</v>
      </c>
      <c r="Q4" s="5">
        <v>1400</v>
      </c>
      <c r="R4" s="13" t="s">
        <v>44</v>
      </c>
      <c r="S4" s="13" t="s">
        <v>45</v>
      </c>
      <c r="T4" s="1">
        <v>0</v>
      </c>
      <c r="U4" s="1">
        <v>0</v>
      </c>
      <c r="V4" s="1">
        <v>0</v>
      </c>
      <c r="W4" s="1">
        <v>0</v>
      </c>
      <c r="X4" s="5">
        <v>0</v>
      </c>
      <c r="Y4" s="5">
        <v>0</v>
      </c>
      <c r="Z4" s="5">
        <v>0</v>
      </c>
      <c r="AA4" s="1">
        <v>4</v>
      </c>
      <c r="AB4" s="5">
        <v>0</v>
      </c>
      <c r="AC4" s="5">
        <v>1</v>
      </c>
      <c r="AD4" s="5">
        <v>0</v>
      </c>
      <c r="AE4" s="5">
        <v>1</v>
      </c>
      <c r="AF4" s="5">
        <v>5</v>
      </c>
      <c r="AG4" s="5">
        <v>8</v>
      </c>
      <c r="AH4" s="1">
        <v>2</v>
      </c>
      <c r="AI4" s="6">
        <v>0.31</v>
      </c>
      <c r="AJ4" s="7">
        <v>38.8</v>
      </c>
      <c r="AK4" s="7">
        <v>82</v>
      </c>
    </row>
    <row r="5" s="1" customFormat="1" spans="1:37">
      <c r="A5" s="1">
        <v>4</v>
      </c>
      <c r="B5" s="5">
        <v>2</v>
      </c>
      <c r="C5" s="5">
        <v>79</v>
      </c>
      <c r="D5" s="5">
        <v>3</v>
      </c>
      <c r="E5" s="5">
        <v>2</v>
      </c>
      <c r="F5" s="5">
        <v>150</v>
      </c>
      <c r="G5" s="5">
        <v>57</v>
      </c>
      <c r="H5" s="1">
        <f t="shared" si="0"/>
        <v>25.3333333333333</v>
      </c>
      <c r="I5" s="5">
        <v>0</v>
      </c>
      <c r="J5" s="5">
        <v>1</v>
      </c>
      <c r="K5" s="5">
        <v>0</v>
      </c>
      <c r="L5" s="5">
        <v>0</v>
      </c>
      <c r="M5" s="5">
        <v>2</v>
      </c>
      <c r="N5" s="5">
        <v>4</v>
      </c>
      <c r="O5" s="5">
        <v>70</v>
      </c>
      <c r="P5" s="13" t="s">
        <v>46</v>
      </c>
      <c r="Q5" s="5">
        <v>450</v>
      </c>
      <c r="R5" s="13" t="s">
        <v>47</v>
      </c>
      <c r="S5" s="13" t="s">
        <v>38</v>
      </c>
      <c r="T5" s="1">
        <v>0</v>
      </c>
      <c r="U5" s="1">
        <v>0</v>
      </c>
      <c r="V5" s="1">
        <v>0</v>
      </c>
      <c r="W5" s="1">
        <v>0</v>
      </c>
      <c r="X5" s="5">
        <v>0</v>
      </c>
      <c r="Y5" s="5">
        <v>0</v>
      </c>
      <c r="Z5" s="5">
        <v>0</v>
      </c>
      <c r="AA5" s="1">
        <v>0</v>
      </c>
      <c r="AB5" s="5">
        <v>0</v>
      </c>
      <c r="AC5" s="5">
        <v>0</v>
      </c>
      <c r="AD5" s="5">
        <v>0</v>
      </c>
      <c r="AE5" s="5">
        <v>0</v>
      </c>
      <c r="AF5" s="5">
        <v>2</v>
      </c>
      <c r="AG5" s="5">
        <v>5</v>
      </c>
      <c r="AH5" s="1">
        <v>1</v>
      </c>
      <c r="AI5" s="6">
        <v>0.409</v>
      </c>
      <c r="AJ5" s="7">
        <v>38.7</v>
      </c>
      <c r="AK5" s="7">
        <v>88</v>
      </c>
    </row>
    <row r="6" s="1" customFormat="1" spans="1:37">
      <c r="A6" s="1">
        <v>5</v>
      </c>
      <c r="B6" s="5">
        <v>1</v>
      </c>
      <c r="C6" s="5">
        <v>77</v>
      </c>
      <c r="D6" s="5">
        <v>2</v>
      </c>
      <c r="E6" s="5">
        <v>2</v>
      </c>
      <c r="F6" s="5">
        <v>167</v>
      </c>
      <c r="G6" s="5">
        <v>50</v>
      </c>
      <c r="H6" s="1">
        <f t="shared" si="0"/>
        <v>17.9282154254366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4</v>
      </c>
      <c r="O6" s="5">
        <v>60</v>
      </c>
      <c r="P6" s="13" t="s">
        <v>48</v>
      </c>
      <c r="Q6" s="5">
        <v>800</v>
      </c>
      <c r="R6" s="13" t="s">
        <v>49</v>
      </c>
      <c r="S6" s="13" t="s">
        <v>50</v>
      </c>
      <c r="T6" s="1">
        <v>0</v>
      </c>
      <c r="U6" s="1">
        <v>0</v>
      </c>
      <c r="V6" s="1">
        <v>0</v>
      </c>
      <c r="W6" s="1">
        <v>0</v>
      </c>
      <c r="X6" s="5">
        <v>0</v>
      </c>
      <c r="Y6" s="5">
        <v>0</v>
      </c>
      <c r="Z6" s="5">
        <v>0</v>
      </c>
      <c r="AA6" s="1">
        <v>5</v>
      </c>
      <c r="AB6" s="5">
        <v>0</v>
      </c>
      <c r="AC6" s="5">
        <v>0</v>
      </c>
      <c r="AD6" s="5">
        <v>0</v>
      </c>
      <c r="AE6" s="5">
        <v>1</v>
      </c>
      <c r="AF6" s="5">
        <v>3</v>
      </c>
      <c r="AG6" s="5">
        <v>4</v>
      </c>
      <c r="AH6" s="1">
        <v>3</v>
      </c>
      <c r="AI6" s="6">
        <v>28.7</v>
      </c>
      <c r="AJ6" s="7">
        <v>28.5</v>
      </c>
      <c r="AK6" s="7">
        <v>74</v>
      </c>
    </row>
    <row r="7" s="1" customFormat="1" spans="1:37">
      <c r="A7" s="1">
        <v>6</v>
      </c>
      <c r="B7" s="5">
        <v>2</v>
      </c>
      <c r="C7" s="5">
        <v>76</v>
      </c>
      <c r="D7" s="5">
        <v>2</v>
      </c>
      <c r="E7" s="5">
        <v>2</v>
      </c>
      <c r="F7" s="5">
        <v>150</v>
      </c>
      <c r="G7" s="5">
        <v>55</v>
      </c>
      <c r="H7" s="1">
        <f t="shared" si="0"/>
        <v>24.4444444444444</v>
      </c>
      <c r="I7" s="5">
        <v>1</v>
      </c>
      <c r="J7" s="5">
        <v>1</v>
      </c>
      <c r="K7" s="5">
        <v>1</v>
      </c>
      <c r="L7" s="5">
        <v>0</v>
      </c>
      <c r="M7" s="5">
        <v>2</v>
      </c>
      <c r="N7" s="5">
        <v>4</v>
      </c>
      <c r="O7" s="5">
        <v>60</v>
      </c>
      <c r="P7" s="13" t="s">
        <v>51</v>
      </c>
      <c r="Q7" s="5">
        <v>600</v>
      </c>
      <c r="R7" s="13" t="s">
        <v>50</v>
      </c>
      <c r="S7" s="13" t="s">
        <v>52</v>
      </c>
      <c r="T7" s="1">
        <v>0</v>
      </c>
      <c r="U7" s="1">
        <v>0</v>
      </c>
      <c r="V7" s="5">
        <v>200</v>
      </c>
      <c r="W7" s="5">
        <v>400</v>
      </c>
      <c r="X7" s="5">
        <v>0</v>
      </c>
      <c r="Y7" s="5">
        <v>1</v>
      </c>
      <c r="Z7" s="5">
        <v>1</v>
      </c>
      <c r="AA7" s="1">
        <v>0</v>
      </c>
      <c r="AB7" s="5">
        <v>0</v>
      </c>
      <c r="AC7" s="5">
        <v>0</v>
      </c>
      <c r="AD7" s="5">
        <v>0</v>
      </c>
      <c r="AE7" s="5">
        <v>0</v>
      </c>
      <c r="AF7" s="5">
        <v>2</v>
      </c>
      <c r="AG7" s="5">
        <v>12</v>
      </c>
      <c r="AH7" s="1">
        <v>2</v>
      </c>
      <c r="AI7" s="6">
        <v>0.273</v>
      </c>
      <c r="AJ7" s="7">
        <v>39</v>
      </c>
      <c r="AK7" s="7">
        <v>94</v>
      </c>
    </row>
    <row r="8" s="1" customFormat="1" spans="1:37">
      <c r="A8" s="1">
        <v>7</v>
      </c>
      <c r="B8" s="5">
        <v>2</v>
      </c>
      <c r="C8" s="5">
        <v>81</v>
      </c>
      <c r="D8" s="5">
        <v>2</v>
      </c>
      <c r="E8" s="5">
        <v>2</v>
      </c>
      <c r="F8" s="5">
        <v>164</v>
      </c>
      <c r="G8" s="5">
        <v>60</v>
      </c>
      <c r="H8" s="1">
        <f t="shared" si="0"/>
        <v>22.3081499107674</v>
      </c>
      <c r="I8" s="5">
        <v>1</v>
      </c>
      <c r="J8" s="5">
        <v>1</v>
      </c>
      <c r="K8" s="5">
        <v>0</v>
      </c>
      <c r="L8" s="5">
        <v>0</v>
      </c>
      <c r="M8" s="5">
        <v>3</v>
      </c>
      <c r="N8" s="5">
        <v>4</v>
      </c>
      <c r="O8" s="5">
        <v>150</v>
      </c>
      <c r="P8" s="13" t="s">
        <v>53</v>
      </c>
      <c r="Q8" s="5">
        <v>1100</v>
      </c>
      <c r="R8" s="13" t="s">
        <v>54</v>
      </c>
      <c r="S8" s="13" t="s">
        <v>45</v>
      </c>
      <c r="T8" s="1">
        <v>200</v>
      </c>
      <c r="U8" s="1">
        <v>0</v>
      </c>
      <c r="V8" s="1">
        <v>0</v>
      </c>
      <c r="W8" s="1">
        <v>0</v>
      </c>
      <c r="X8" s="5">
        <v>1</v>
      </c>
      <c r="Y8" s="5">
        <v>0</v>
      </c>
      <c r="Z8" s="5">
        <v>1</v>
      </c>
      <c r="AA8" s="1">
        <v>1</v>
      </c>
      <c r="AB8" s="5">
        <v>0</v>
      </c>
      <c r="AC8" s="5">
        <v>0</v>
      </c>
      <c r="AD8" s="5">
        <v>0</v>
      </c>
      <c r="AE8" s="5">
        <v>0</v>
      </c>
      <c r="AF8" s="5">
        <v>6</v>
      </c>
      <c r="AG8" s="5">
        <v>8</v>
      </c>
      <c r="AH8" s="1">
        <v>3</v>
      </c>
      <c r="AI8" s="6">
        <v>0.176</v>
      </c>
      <c r="AJ8" s="7">
        <v>32</v>
      </c>
      <c r="AK8" s="7">
        <v>140</v>
      </c>
    </row>
    <row r="9" s="1" customFormat="1" spans="1:37">
      <c r="A9" s="1">
        <v>8</v>
      </c>
      <c r="B9" s="1">
        <v>2</v>
      </c>
      <c r="C9" s="5">
        <v>81</v>
      </c>
      <c r="D9" s="5">
        <v>3</v>
      </c>
      <c r="E9" s="5">
        <v>2</v>
      </c>
      <c r="F9" s="5">
        <v>164</v>
      </c>
      <c r="G9" s="5">
        <v>67</v>
      </c>
      <c r="H9" s="1">
        <f t="shared" si="0"/>
        <v>24.9107674003569</v>
      </c>
      <c r="I9" s="5">
        <v>1</v>
      </c>
      <c r="J9" s="5">
        <v>1</v>
      </c>
      <c r="K9" s="5">
        <v>1</v>
      </c>
      <c r="L9" s="5">
        <v>1</v>
      </c>
      <c r="M9" s="5">
        <v>2</v>
      </c>
      <c r="N9" s="5">
        <v>4</v>
      </c>
      <c r="O9" s="5">
        <v>150</v>
      </c>
      <c r="P9" s="13" t="s">
        <v>55</v>
      </c>
      <c r="Q9" s="5">
        <v>800</v>
      </c>
      <c r="R9" s="13" t="s">
        <v>52</v>
      </c>
      <c r="S9" s="13" t="s">
        <v>41</v>
      </c>
      <c r="T9" s="1">
        <v>0</v>
      </c>
      <c r="U9" s="1">
        <v>0</v>
      </c>
      <c r="V9" s="1">
        <v>0</v>
      </c>
      <c r="W9" s="1">
        <v>0</v>
      </c>
      <c r="X9" s="5">
        <v>0</v>
      </c>
      <c r="Y9" s="5">
        <v>0</v>
      </c>
      <c r="Z9" s="5">
        <v>0</v>
      </c>
      <c r="AA9" s="1">
        <v>1</v>
      </c>
      <c r="AB9" s="5">
        <v>0</v>
      </c>
      <c r="AC9" s="5">
        <v>0</v>
      </c>
      <c r="AD9" s="5">
        <v>0</v>
      </c>
      <c r="AE9" s="5">
        <v>0</v>
      </c>
      <c r="AF9" s="5">
        <v>11</v>
      </c>
      <c r="AG9" s="5">
        <v>8</v>
      </c>
      <c r="AH9" s="1">
        <v>2</v>
      </c>
      <c r="AI9" s="6">
        <v>0.239</v>
      </c>
      <c r="AJ9" s="7">
        <v>34.4</v>
      </c>
      <c r="AK9" s="7">
        <v>62</v>
      </c>
    </row>
    <row r="10" s="1" customFormat="1" spans="1:37">
      <c r="A10" s="1">
        <v>9</v>
      </c>
      <c r="B10" s="1">
        <v>2</v>
      </c>
      <c r="C10" s="5">
        <v>65</v>
      </c>
      <c r="D10" s="5">
        <v>3</v>
      </c>
      <c r="E10" s="5">
        <v>1</v>
      </c>
      <c r="F10" s="5">
        <v>159</v>
      </c>
      <c r="G10" s="5">
        <v>81</v>
      </c>
      <c r="H10" s="1">
        <f t="shared" si="0"/>
        <v>32.0398718405126</v>
      </c>
      <c r="I10" s="5">
        <v>1</v>
      </c>
      <c r="J10" s="5">
        <v>1</v>
      </c>
      <c r="K10" s="5">
        <v>0</v>
      </c>
      <c r="L10" s="1">
        <v>0</v>
      </c>
      <c r="M10" s="5">
        <v>3</v>
      </c>
      <c r="N10" s="5">
        <v>4</v>
      </c>
      <c r="O10" s="5">
        <v>70</v>
      </c>
      <c r="P10" s="13" t="s">
        <v>56</v>
      </c>
      <c r="Q10" s="5">
        <v>1400</v>
      </c>
      <c r="R10" s="13" t="s">
        <v>38</v>
      </c>
      <c r="S10" s="13" t="s">
        <v>52</v>
      </c>
      <c r="T10" s="1">
        <v>0</v>
      </c>
      <c r="U10" s="1">
        <v>0</v>
      </c>
      <c r="V10" s="1">
        <v>0</v>
      </c>
      <c r="W10" s="1">
        <v>0</v>
      </c>
      <c r="X10" s="5">
        <v>0</v>
      </c>
      <c r="Y10" s="5">
        <v>0</v>
      </c>
      <c r="Z10" s="5">
        <v>0</v>
      </c>
      <c r="AA10" s="1">
        <v>1</v>
      </c>
      <c r="AB10" s="5">
        <v>0</v>
      </c>
      <c r="AC10" s="5">
        <v>0</v>
      </c>
      <c r="AD10" s="5">
        <v>0</v>
      </c>
      <c r="AE10" s="5">
        <v>0</v>
      </c>
      <c r="AF10" s="5">
        <v>7</v>
      </c>
      <c r="AG10" s="5">
        <v>11</v>
      </c>
      <c r="AH10" s="1">
        <v>0</v>
      </c>
      <c r="AI10" s="6">
        <v>0.408</v>
      </c>
      <c r="AJ10" s="7">
        <v>38.5</v>
      </c>
      <c r="AK10" s="7">
        <v>44</v>
      </c>
    </row>
    <row r="11" s="1" customFormat="1" spans="1:37">
      <c r="A11" s="1">
        <v>10</v>
      </c>
      <c r="B11" s="5">
        <v>2</v>
      </c>
      <c r="C11" s="5">
        <v>79</v>
      </c>
      <c r="D11" s="5">
        <v>2</v>
      </c>
      <c r="E11" s="5">
        <v>2</v>
      </c>
      <c r="F11" s="5">
        <v>160</v>
      </c>
      <c r="G11" s="5">
        <v>60</v>
      </c>
      <c r="H11" s="1">
        <f t="shared" si="0"/>
        <v>23.4375</v>
      </c>
      <c r="I11" s="5">
        <v>1</v>
      </c>
      <c r="J11" s="5">
        <v>1</v>
      </c>
      <c r="K11" s="5">
        <v>1</v>
      </c>
      <c r="L11" s="5">
        <v>0</v>
      </c>
      <c r="M11" s="5">
        <v>2</v>
      </c>
      <c r="N11" s="5">
        <v>4</v>
      </c>
      <c r="O11" s="5">
        <v>60</v>
      </c>
      <c r="P11" s="13" t="s">
        <v>57</v>
      </c>
      <c r="Q11" s="5">
        <v>500</v>
      </c>
      <c r="R11" s="13" t="s">
        <v>47</v>
      </c>
      <c r="S11" s="13" t="s">
        <v>58</v>
      </c>
      <c r="T11" s="1">
        <v>0</v>
      </c>
      <c r="U11" s="1">
        <v>0</v>
      </c>
      <c r="V11" s="1">
        <v>0</v>
      </c>
      <c r="W11" s="1">
        <v>0</v>
      </c>
      <c r="X11" s="5">
        <v>0</v>
      </c>
      <c r="Y11" s="5">
        <v>0</v>
      </c>
      <c r="Z11" s="5">
        <v>0</v>
      </c>
      <c r="AA11" s="1">
        <v>0</v>
      </c>
      <c r="AB11" s="5">
        <v>0</v>
      </c>
      <c r="AC11" s="5">
        <v>0</v>
      </c>
      <c r="AD11" s="5">
        <v>0</v>
      </c>
      <c r="AE11" s="5">
        <v>0</v>
      </c>
      <c r="AF11" s="5">
        <v>5</v>
      </c>
      <c r="AG11" s="5">
        <v>3</v>
      </c>
      <c r="AH11" s="1">
        <v>3</v>
      </c>
      <c r="AI11" s="6">
        <v>0.294</v>
      </c>
      <c r="AJ11" s="7">
        <v>33.2</v>
      </c>
      <c r="AK11" s="7">
        <v>89</v>
      </c>
    </row>
    <row r="12" s="1" customFormat="1" spans="1:37">
      <c r="A12" s="1">
        <v>11</v>
      </c>
      <c r="B12" s="5">
        <v>2</v>
      </c>
      <c r="C12" s="5">
        <v>81</v>
      </c>
      <c r="D12" s="5">
        <v>2</v>
      </c>
      <c r="E12" s="5">
        <v>2</v>
      </c>
      <c r="F12" s="5">
        <v>159</v>
      </c>
      <c r="G12" s="5">
        <v>63</v>
      </c>
      <c r="H12" s="1">
        <f t="shared" si="0"/>
        <v>24.9199003203987</v>
      </c>
      <c r="I12" s="5">
        <v>0</v>
      </c>
      <c r="J12" s="5">
        <v>0</v>
      </c>
      <c r="K12" s="5">
        <v>0</v>
      </c>
      <c r="L12" s="5">
        <v>0</v>
      </c>
      <c r="M12" s="5">
        <v>2</v>
      </c>
      <c r="N12" s="5">
        <v>4</v>
      </c>
      <c r="O12" s="5">
        <v>150</v>
      </c>
      <c r="P12" s="13" t="s">
        <v>59</v>
      </c>
      <c r="Q12" s="5">
        <v>1200</v>
      </c>
      <c r="R12" s="13" t="s">
        <v>50</v>
      </c>
      <c r="S12" s="13" t="s">
        <v>58</v>
      </c>
      <c r="T12" s="1">
        <v>200</v>
      </c>
      <c r="U12" s="1">
        <v>400</v>
      </c>
      <c r="V12" s="5">
        <v>400</v>
      </c>
      <c r="W12" s="5">
        <v>400</v>
      </c>
      <c r="X12" s="5">
        <v>1</v>
      </c>
      <c r="Y12" s="5">
        <v>1</v>
      </c>
      <c r="Z12" s="5">
        <v>1</v>
      </c>
      <c r="AA12" s="1">
        <v>0</v>
      </c>
      <c r="AB12" s="5">
        <v>0</v>
      </c>
      <c r="AC12" s="5">
        <v>0</v>
      </c>
      <c r="AD12" s="5">
        <v>0</v>
      </c>
      <c r="AE12" s="5">
        <v>1</v>
      </c>
      <c r="AF12" s="5">
        <v>3</v>
      </c>
      <c r="AG12" s="5">
        <v>5</v>
      </c>
      <c r="AH12" s="1">
        <v>2</v>
      </c>
      <c r="AI12" s="6">
        <v>0.297</v>
      </c>
      <c r="AJ12" s="7">
        <v>34</v>
      </c>
      <c r="AK12" s="7">
        <v>67</v>
      </c>
    </row>
    <row r="13" s="1" customFormat="1" spans="1:37">
      <c r="A13" s="1">
        <v>12</v>
      </c>
      <c r="B13" s="5">
        <v>2</v>
      </c>
      <c r="C13" s="5">
        <v>76</v>
      </c>
      <c r="D13" s="5">
        <v>2</v>
      </c>
      <c r="E13" s="5">
        <v>2</v>
      </c>
      <c r="F13" s="5">
        <v>145</v>
      </c>
      <c r="G13" s="5">
        <v>60</v>
      </c>
      <c r="H13" s="1">
        <f t="shared" si="0"/>
        <v>28.5374554102259</v>
      </c>
      <c r="I13" s="5">
        <v>1</v>
      </c>
      <c r="J13" s="5">
        <v>0</v>
      </c>
      <c r="K13" s="5">
        <v>0</v>
      </c>
      <c r="L13" s="5">
        <v>0</v>
      </c>
      <c r="M13" s="5">
        <v>2</v>
      </c>
      <c r="N13" s="5">
        <v>4</v>
      </c>
      <c r="O13" s="5">
        <v>90</v>
      </c>
      <c r="P13" s="13" t="s">
        <v>60</v>
      </c>
      <c r="Q13" s="5">
        <v>800</v>
      </c>
      <c r="R13" s="13" t="s">
        <v>52</v>
      </c>
      <c r="S13" s="13" t="s">
        <v>58</v>
      </c>
      <c r="T13" s="1">
        <v>0</v>
      </c>
      <c r="U13" s="1">
        <v>0</v>
      </c>
      <c r="V13" s="5">
        <v>200</v>
      </c>
      <c r="W13" s="5">
        <v>200</v>
      </c>
      <c r="X13" s="5">
        <v>0</v>
      </c>
      <c r="Y13" s="5">
        <v>1</v>
      </c>
      <c r="Z13" s="5">
        <v>1</v>
      </c>
      <c r="AA13" s="1">
        <v>0</v>
      </c>
      <c r="AB13" s="5">
        <v>0</v>
      </c>
      <c r="AC13" s="5">
        <v>0</v>
      </c>
      <c r="AD13" s="5">
        <v>0</v>
      </c>
      <c r="AE13" s="5">
        <v>0</v>
      </c>
      <c r="AF13" s="5">
        <v>3</v>
      </c>
      <c r="AG13" s="5">
        <v>3</v>
      </c>
      <c r="AH13" s="1">
        <v>2</v>
      </c>
      <c r="AI13" s="6">
        <v>0.332</v>
      </c>
      <c r="AJ13" s="7">
        <v>39.2</v>
      </c>
      <c r="AK13" s="7">
        <v>37</v>
      </c>
    </row>
    <row r="14" s="1" customFormat="1" spans="1:37">
      <c r="A14" s="1">
        <v>13</v>
      </c>
      <c r="B14" s="1">
        <v>2</v>
      </c>
      <c r="C14" s="5">
        <v>76</v>
      </c>
      <c r="D14" s="5">
        <v>2</v>
      </c>
      <c r="E14" s="5">
        <v>1</v>
      </c>
      <c r="F14" s="5">
        <v>155</v>
      </c>
      <c r="G14" s="5">
        <v>53</v>
      </c>
      <c r="H14" s="1">
        <f t="shared" si="0"/>
        <v>22.0603537981269</v>
      </c>
      <c r="I14" s="5">
        <v>0</v>
      </c>
      <c r="J14" s="5">
        <v>0</v>
      </c>
      <c r="K14" s="5">
        <v>0</v>
      </c>
      <c r="L14" s="1">
        <v>0</v>
      </c>
      <c r="M14" s="5">
        <v>2</v>
      </c>
      <c r="N14" s="5">
        <v>4</v>
      </c>
      <c r="O14" s="5">
        <v>70</v>
      </c>
      <c r="P14" s="13" t="s">
        <v>61</v>
      </c>
      <c r="Q14" s="5">
        <v>900</v>
      </c>
      <c r="R14" s="13" t="s">
        <v>52</v>
      </c>
      <c r="S14" s="13" t="s">
        <v>54</v>
      </c>
      <c r="T14" s="1">
        <v>0</v>
      </c>
      <c r="U14" s="1">
        <v>0</v>
      </c>
      <c r="V14" s="5">
        <v>400</v>
      </c>
      <c r="W14" s="5">
        <v>400</v>
      </c>
      <c r="X14" s="5">
        <v>0</v>
      </c>
      <c r="Y14" s="5">
        <v>1</v>
      </c>
      <c r="Z14" s="5">
        <v>1</v>
      </c>
      <c r="AA14" s="1">
        <v>0</v>
      </c>
      <c r="AB14" s="5">
        <v>0</v>
      </c>
      <c r="AC14" s="5">
        <v>0</v>
      </c>
      <c r="AD14" s="5">
        <v>0</v>
      </c>
      <c r="AE14" s="5">
        <v>0</v>
      </c>
      <c r="AF14" s="5">
        <v>3</v>
      </c>
      <c r="AG14" s="5">
        <v>6</v>
      </c>
      <c r="AH14" s="1">
        <v>2</v>
      </c>
      <c r="AI14" s="6">
        <v>0.295</v>
      </c>
      <c r="AJ14" s="7">
        <v>34</v>
      </c>
      <c r="AK14" s="7">
        <v>62</v>
      </c>
    </row>
    <row r="15" s="1" customFormat="1" spans="1:37">
      <c r="A15" s="1">
        <v>14</v>
      </c>
      <c r="B15" s="5">
        <v>2</v>
      </c>
      <c r="C15" s="5">
        <v>85</v>
      </c>
      <c r="D15" s="5">
        <v>3</v>
      </c>
      <c r="E15" s="5">
        <v>2</v>
      </c>
      <c r="F15" s="5">
        <v>160</v>
      </c>
      <c r="G15" s="5">
        <v>52</v>
      </c>
      <c r="H15" s="1">
        <f t="shared" si="0"/>
        <v>20.3125</v>
      </c>
      <c r="I15" s="5">
        <v>0</v>
      </c>
      <c r="J15" s="5">
        <v>0</v>
      </c>
      <c r="K15" s="5">
        <v>0</v>
      </c>
      <c r="L15" s="5">
        <v>0</v>
      </c>
      <c r="M15" s="5">
        <v>2</v>
      </c>
      <c r="N15" s="5">
        <v>4</v>
      </c>
      <c r="O15" s="5">
        <v>180</v>
      </c>
      <c r="P15" s="13" t="s">
        <v>62</v>
      </c>
      <c r="Q15" s="5">
        <v>1500</v>
      </c>
      <c r="R15" s="13" t="s">
        <v>41</v>
      </c>
      <c r="S15" s="13" t="s">
        <v>52</v>
      </c>
      <c r="T15" s="1">
        <v>200</v>
      </c>
      <c r="U15" s="1">
        <v>0</v>
      </c>
      <c r="V15" s="5">
        <v>400</v>
      </c>
      <c r="W15" s="5">
        <v>400</v>
      </c>
      <c r="X15" s="5">
        <v>1</v>
      </c>
      <c r="Y15" s="5">
        <v>1</v>
      </c>
      <c r="Z15" s="5">
        <v>1</v>
      </c>
      <c r="AA15" s="1">
        <v>2</v>
      </c>
      <c r="AB15" s="5">
        <v>0</v>
      </c>
      <c r="AC15" s="5">
        <v>0</v>
      </c>
      <c r="AD15" s="5">
        <v>0</v>
      </c>
      <c r="AE15" s="5">
        <v>0</v>
      </c>
      <c r="AF15" s="5">
        <v>6</v>
      </c>
      <c r="AG15" s="5">
        <v>3</v>
      </c>
      <c r="AH15" s="1">
        <v>2</v>
      </c>
      <c r="AI15" s="6">
        <v>0.373</v>
      </c>
      <c r="AJ15" s="7">
        <v>33.6</v>
      </c>
      <c r="AK15" s="7">
        <v>79</v>
      </c>
    </row>
    <row r="16" s="1" customFormat="1" spans="1:37">
      <c r="A16" s="1">
        <v>15</v>
      </c>
      <c r="B16" s="5">
        <v>1</v>
      </c>
      <c r="C16" s="5">
        <v>82</v>
      </c>
      <c r="D16" s="5">
        <v>2</v>
      </c>
      <c r="E16" s="5">
        <v>2</v>
      </c>
      <c r="F16" s="5">
        <v>168</v>
      </c>
      <c r="G16" s="5">
        <v>79</v>
      </c>
      <c r="H16" s="1">
        <f t="shared" si="0"/>
        <v>27.9903628117914</v>
      </c>
      <c r="I16" s="5">
        <v>1</v>
      </c>
      <c r="J16" s="5">
        <v>1</v>
      </c>
      <c r="K16" s="5">
        <v>1</v>
      </c>
      <c r="L16" s="5">
        <v>0</v>
      </c>
      <c r="M16" s="5">
        <v>2</v>
      </c>
      <c r="N16" s="5">
        <v>4</v>
      </c>
      <c r="O16" s="5">
        <v>70</v>
      </c>
      <c r="P16" s="13" t="s">
        <v>63</v>
      </c>
      <c r="Q16" s="5">
        <v>600</v>
      </c>
      <c r="R16" s="13" t="s">
        <v>52</v>
      </c>
      <c r="S16" s="13" t="s">
        <v>52</v>
      </c>
      <c r="T16" s="1">
        <v>0</v>
      </c>
      <c r="U16" s="1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1">
        <v>0</v>
      </c>
      <c r="AB16" s="5">
        <v>0</v>
      </c>
      <c r="AC16" s="5">
        <v>0</v>
      </c>
      <c r="AD16" s="5">
        <v>0</v>
      </c>
      <c r="AE16" s="5">
        <v>0</v>
      </c>
      <c r="AF16" s="5">
        <v>3</v>
      </c>
      <c r="AG16" s="5">
        <v>10</v>
      </c>
      <c r="AH16" s="1">
        <v>1</v>
      </c>
      <c r="AI16" s="6">
        <v>0.382</v>
      </c>
      <c r="AJ16" s="7">
        <v>42</v>
      </c>
      <c r="AK16" s="7">
        <v>62</v>
      </c>
    </row>
    <row r="17" s="1" customFormat="1" spans="1:37">
      <c r="A17" s="1">
        <v>16</v>
      </c>
      <c r="B17" s="5">
        <v>2</v>
      </c>
      <c r="C17" s="5">
        <v>90</v>
      </c>
      <c r="D17" s="5">
        <v>3</v>
      </c>
      <c r="E17" s="5">
        <v>2</v>
      </c>
      <c r="F17" s="5">
        <v>158</v>
      </c>
      <c r="G17" s="5">
        <v>50</v>
      </c>
      <c r="H17" s="1">
        <f t="shared" si="0"/>
        <v>20.0288415318058</v>
      </c>
      <c r="I17" s="5">
        <v>0</v>
      </c>
      <c r="J17" s="5">
        <v>0</v>
      </c>
      <c r="K17" s="5">
        <v>0</v>
      </c>
      <c r="L17" s="5">
        <v>1</v>
      </c>
      <c r="M17" s="5">
        <v>2</v>
      </c>
      <c r="N17" s="5">
        <v>4</v>
      </c>
      <c r="O17" s="5">
        <v>50</v>
      </c>
      <c r="P17" s="13" t="s">
        <v>64</v>
      </c>
      <c r="Q17" s="5">
        <v>800</v>
      </c>
      <c r="R17" s="13" t="s">
        <v>44</v>
      </c>
      <c r="S17" s="13" t="s">
        <v>45</v>
      </c>
      <c r="T17" s="1">
        <v>0</v>
      </c>
      <c r="U17" s="1">
        <v>0</v>
      </c>
      <c r="V17" s="1">
        <v>0</v>
      </c>
      <c r="W17" s="1">
        <v>0</v>
      </c>
      <c r="X17" s="5">
        <v>0</v>
      </c>
      <c r="Y17" s="5">
        <v>0</v>
      </c>
      <c r="Z17" s="5">
        <v>0</v>
      </c>
      <c r="AA17" s="1">
        <v>0</v>
      </c>
      <c r="AB17" s="5">
        <v>1</v>
      </c>
      <c r="AC17" s="5">
        <v>1</v>
      </c>
      <c r="AD17" s="5">
        <v>0</v>
      </c>
      <c r="AE17" s="5">
        <v>1</v>
      </c>
      <c r="AF17" s="5">
        <v>1</v>
      </c>
      <c r="AG17" s="5">
        <v>9</v>
      </c>
      <c r="AH17" s="1">
        <v>1</v>
      </c>
      <c r="AI17" s="6">
        <v>0.353</v>
      </c>
      <c r="AJ17" s="7" t="s">
        <v>65</v>
      </c>
      <c r="AK17" s="7" t="s">
        <v>65</v>
      </c>
    </row>
    <row r="18" s="1" customFormat="1" spans="1:37">
      <c r="A18" s="1">
        <v>17</v>
      </c>
      <c r="B18" s="5">
        <v>2</v>
      </c>
      <c r="C18" s="5">
        <v>69</v>
      </c>
      <c r="D18" s="5">
        <v>2</v>
      </c>
      <c r="E18" s="5">
        <v>2</v>
      </c>
      <c r="F18" s="5">
        <v>154</v>
      </c>
      <c r="G18" s="5">
        <v>59</v>
      </c>
      <c r="H18" s="1">
        <f t="shared" si="0"/>
        <v>24.8777196829145</v>
      </c>
      <c r="I18" s="5">
        <v>1</v>
      </c>
      <c r="J18" s="5">
        <v>0</v>
      </c>
      <c r="K18" s="5">
        <v>1</v>
      </c>
      <c r="L18" s="5">
        <v>0</v>
      </c>
      <c r="M18" s="5">
        <v>2</v>
      </c>
      <c r="N18" s="5">
        <v>4</v>
      </c>
      <c r="O18" s="5">
        <v>90</v>
      </c>
      <c r="P18" s="13" t="s">
        <v>66</v>
      </c>
      <c r="Q18" s="5">
        <v>600</v>
      </c>
      <c r="R18" s="13" t="s">
        <v>50</v>
      </c>
      <c r="S18" s="13" t="s">
        <v>52</v>
      </c>
      <c r="T18" s="1">
        <v>0</v>
      </c>
      <c r="U18" s="1">
        <v>0</v>
      </c>
      <c r="V18" s="5">
        <v>400</v>
      </c>
      <c r="W18" s="5">
        <v>400</v>
      </c>
      <c r="X18" s="5">
        <v>0</v>
      </c>
      <c r="Y18" s="5">
        <v>1</v>
      </c>
      <c r="Z18" s="5">
        <v>1</v>
      </c>
      <c r="AA18" s="1">
        <v>0</v>
      </c>
      <c r="AB18" s="5">
        <v>0</v>
      </c>
      <c r="AC18" s="5">
        <v>0</v>
      </c>
      <c r="AD18" s="5">
        <v>0</v>
      </c>
      <c r="AE18" s="5">
        <v>1</v>
      </c>
      <c r="AF18" s="5">
        <v>2</v>
      </c>
      <c r="AG18" s="5">
        <v>7</v>
      </c>
      <c r="AH18" s="1">
        <v>1</v>
      </c>
      <c r="AI18" s="6">
        <v>0.335</v>
      </c>
      <c r="AJ18" s="7">
        <v>36.7</v>
      </c>
      <c r="AK18" s="7">
        <v>68</v>
      </c>
    </row>
    <row r="19" s="1" customFormat="1" spans="1:37">
      <c r="A19" s="1">
        <v>18</v>
      </c>
      <c r="B19" s="5">
        <v>2</v>
      </c>
      <c r="C19" s="5">
        <v>88</v>
      </c>
      <c r="D19" s="5">
        <v>2</v>
      </c>
      <c r="E19" s="5">
        <v>2</v>
      </c>
      <c r="F19" s="5">
        <v>160</v>
      </c>
      <c r="G19" s="5">
        <v>45</v>
      </c>
      <c r="H19" s="1">
        <f t="shared" si="0"/>
        <v>17.578125</v>
      </c>
      <c r="I19" s="5">
        <v>1</v>
      </c>
      <c r="J19" s="5">
        <v>0</v>
      </c>
      <c r="K19" s="5">
        <v>0</v>
      </c>
      <c r="L19" s="5">
        <v>0</v>
      </c>
      <c r="M19" s="5">
        <v>2</v>
      </c>
      <c r="N19" s="5">
        <v>4</v>
      </c>
      <c r="O19" s="5">
        <v>180</v>
      </c>
      <c r="P19" s="13" t="s">
        <v>67</v>
      </c>
      <c r="Q19" s="5">
        <v>1800</v>
      </c>
      <c r="R19" s="13" t="s">
        <v>68</v>
      </c>
      <c r="S19" s="13" t="s">
        <v>38</v>
      </c>
      <c r="T19" s="1">
        <v>400</v>
      </c>
      <c r="U19" s="1">
        <v>400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1">
        <v>0</v>
      </c>
      <c r="AB19" s="5">
        <v>0</v>
      </c>
      <c r="AC19" s="5">
        <v>0</v>
      </c>
      <c r="AD19" s="5">
        <v>0</v>
      </c>
      <c r="AE19" s="5">
        <v>0</v>
      </c>
      <c r="AF19" s="5">
        <v>4</v>
      </c>
      <c r="AG19" s="5">
        <v>17</v>
      </c>
      <c r="AH19" s="1">
        <v>3</v>
      </c>
      <c r="AI19" s="6">
        <v>0.235</v>
      </c>
      <c r="AJ19" s="7" t="s">
        <v>65</v>
      </c>
      <c r="AK19" s="7">
        <v>37</v>
      </c>
    </row>
    <row r="20" s="1" customFormat="1" spans="1:37">
      <c r="A20" s="1">
        <v>19</v>
      </c>
      <c r="B20" s="5">
        <v>2</v>
      </c>
      <c r="C20" s="5">
        <v>91</v>
      </c>
      <c r="D20" s="5">
        <v>2</v>
      </c>
      <c r="E20" s="5">
        <v>2</v>
      </c>
      <c r="F20" s="5">
        <v>150</v>
      </c>
      <c r="G20" s="5">
        <v>40</v>
      </c>
      <c r="H20" s="1">
        <f t="shared" si="0"/>
        <v>17.7777777777778</v>
      </c>
      <c r="I20" s="5">
        <v>1</v>
      </c>
      <c r="J20" s="5">
        <v>0</v>
      </c>
      <c r="K20" s="5">
        <v>0</v>
      </c>
      <c r="L20" s="5">
        <v>0</v>
      </c>
      <c r="M20" s="5">
        <v>3</v>
      </c>
      <c r="N20" s="5">
        <v>4</v>
      </c>
      <c r="O20" s="5">
        <v>130</v>
      </c>
      <c r="P20" s="13" t="s">
        <v>69</v>
      </c>
      <c r="Q20" s="5">
        <v>1100</v>
      </c>
      <c r="R20" s="13" t="s">
        <v>42</v>
      </c>
      <c r="S20" s="13" t="s">
        <v>45</v>
      </c>
      <c r="T20" s="1">
        <v>0</v>
      </c>
      <c r="U20" s="1">
        <v>0</v>
      </c>
      <c r="V20" s="5">
        <v>600</v>
      </c>
      <c r="W20" s="5">
        <v>200</v>
      </c>
      <c r="X20" s="5">
        <v>0</v>
      </c>
      <c r="Y20" s="5">
        <v>1</v>
      </c>
      <c r="Z20" s="5">
        <v>1</v>
      </c>
      <c r="AA20" s="1">
        <v>1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7</v>
      </c>
      <c r="AH20" s="1">
        <v>3</v>
      </c>
      <c r="AI20" s="6">
        <v>0.293</v>
      </c>
      <c r="AJ20" s="7">
        <v>37.1</v>
      </c>
      <c r="AK20" s="7">
        <v>84</v>
      </c>
    </row>
    <row r="21" s="1" customFormat="1" spans="1:37">
      <c r="A21" s="1">
        <v>20</v>
      </c>
      <c r="B21" s="5">
        <v>2</v>
      </c>
      <c r="C21" s="5">
        <v>85</v>
      </c>
      <c r="D21" s="5">
        <v>2</v>
      </c>
      <c r="E21" s="5">
        <v>1</v>
      </c>
      <c r="F21" s="5">
        <v>150</v>
      </c>
      <c r="G21" s="5">
        <v>45</v>
      </c>
      <c r="H21" s="1">
        <f t="shared" si="0"/>
        <v>20</v>
      </c>
      <c r="I21" s="5">
        <v>1</v>
      </c>
      <c r="J21" s="5">
        <v>0</v>
      </c>
      <c r="K21" s="5">
        <v>0</v>
      </c>
      <c r="L21" s="5">
        <v>0</v>
      </c>
      <c r="M21" s="5">
        <v>2</v>
      </c>
      <c r="N21" s="5">
        <v>4</v>
      </c>
      <c r="O21" s="5">
        <v>120</v>
      </c>
      <c r="P21" s="13" t="s">
        <v>70</v>
      </c>
      <c r="Q21" s="5">
        <v>1000</v>
      </c>
      <c r="R21" s="13" t="s">
        <v>50</v>
      </c>
      <c r="S21" s="13" t="s">
        <v>38</v>
      </c>
      <c r="T21" s="1">
        <v>0</v>
      </c>
      <c r="U21" s="1">
        <v>0</v>
      </c>
      <c r="V21" s="1">
        <v>0</v>
      </c>
      <c r="W21" s="1">
        <v>0</v>
      </c>
      <c r="X21" s="5">
        <v>0</v>
      </c>
      <c r="Y21" s="5">
        <v>0</v>
      </c>
      <c r="Z21" s="5">
        <v>0</v>
      </c>
      <c r="AA21" s="1">
        <v>0</v>
      </c>
      <c r="AB21" s="5">
        <v>0</v>
      </c>
      <c r="AC21" s="5">
        <v>0</v>
      </c>
      <c r="AD21" s="5">
        <v>0</v>
      </c>
      <c r="AE21" s="5">
        <v>0</v>
      </c>
      <c r="AF21" s="5">
        <v>4</v>
      </c>
      <c r="AG21" s="5">
        <v>8</v>
      </c>
      <c r="AH21" s="1">
        <v>2</v>
      </c>
      <c r="AI21" s="6">
        <v>0.213</v>
      </c>
      <c r="AJ21" s="7">
        <v>36.3</v>
      </c>
      <c r="AK21" s="7">
        <v>52</v>
      </c>
    </row>
    <row r="22" s="1" customFormat="1" spans="1:37">
      <c r="A22" s="1">
        <v>21</v>
      </c>
      <c r="B22" s="1">
        <v>2</v>
      </c>
      <c r="C22" s="5">
        <v>94</v>
      </c>
      <c r="D22" s="5">
        <v>2</v>
      </c>
      <c r="E22" s="5">
        <v>2</v>
      </c>
      <c r="F22" s="5">
        <v>140</v>
      </c>
      <c r="G22" s="5">
        <v>45</v>
      </c>
      <c r="H22" s="1">
        <f t="shared" si="0"/>
        <v>22.9591836734694</v>
      </c>
      <c r="I22" s="5">
        <v>1</v>
      </c>
      <c r="J22" s="5">
        <v>0</v>
      </c>
      <c r="K22" s="5">
        <v>0</v>
      </c>
      <c r="L22" s="5">
        <v>0</v>
      </c>
      <c r="M22" s="5">
        <v>2</v>
      </c>
      <c r="N22" s="5">
        <v>4</v>
      </c>
      <c r="O22" s="5">
        <v>130</v>
      </c>
      <c r="P22" s="13" t="s">
        <v>71</v>
      </c>
      <c r="Q22" s="5">
        <v>400</v>
      </c>
      <c r="R22" s="13" t="s">
        <v>38</v>
      </c>
      <c r="S22" s="13" t="s">
        <v>50</v>
      </c>
      <c r="T22" s="1">
        <v>0</v>
      </c>
      <c r="U22" s="1">
        <v>0</v>
      </c>
      <c r="V22" s="5">
        <v>200</v>
      </c>
      <c r="W22" s="5">
        <v>400</v>
      </c>
      <c r="X22" s="5">
        <v>0</v>
      </c>
      <c r="Y22" s="5">
        <v>1</v>
      </c>
      <c r="Z22" s="5">
        <v>1</v>
      </c>
      <c r="AA22" s="1">
        <v>0</v>
      </c>
      <c r="AB22" s="5">
        <v>0</v>
      </c>
      <c r="AC22" s="5">
        <v>1</v>
      </c>
      <c r="AD22" s="5">
        <v>0</v>
      </c>
      <c r="AE22" s="5">
        <v>1</v>
      </c>
      <c r="AF22" s="5">
        <v>3</v>
      </c>
      <c r="AG22" s="5">
        <v>13</v>
      </c>
      <c r="AH22" s="1">
        <v>3</v>
      </c>
      <c r="AI22" s="6">
        <v>0.307</v>
      </c>
      <c r="AJ22" s="7">
        <v>29.2</v>
      </c>
      <c r="AK22" s="7">
        <v>84</v>
      </c>
    </row>
    <row r="23" s="1" customFormat="1" spans="1:37">
      <c r="A23" s="1">
        <v>22</v>
      </c>
      <c r="B23" s="5">
        <v>2</v>
      </c>
      <c r="C23" s="5">
        <v>80</v>
      </c>
      <c r="D23" s="5">
        <v>3</v>
      </c>
      <c r="E23" s="5">
        <v>2</v>
      </c>
      <c r="F23" s="5">
        <v>155</v>
      </c>
      <c r="G23" s="5">
        <v>45</v>
      </c>
      <c r="H23" s="1">
        <f t="shared" si="0"/>
        <v>18.7304890738814</v>
      </c>
      <c r="I23" s="5">
        <v>1</v>
      </c>
      <c r="J23" s="5">
        <v>0</v>
      </c>
      <c r="K23" s="5">
        <v>1</v>
      </c>
      <c r="L23" s="5">
        <v>0</v>
      </c>
      <c r="M23" s="5">
        <v>2</v>
      </c>
      <c r="N23" s="5">
        <v>4</v>
      </c>
      <c r="O23" s="5">
        <v>80</v>
      </c>
      <c r="P23" s="13" t="s">
        <v>72</v>
      </c>
      <c r="Q23" s="5">
        <v>800</v>
      </c>
      <c r="R23" s="13" t="s">
        <v>52</v>
      </c>
      <c r="S23" s="13" t="s">
        <v>38</v>
      </c>
      <c r="T23" s="1">
        <v>0</v>
      </c>
      <c r="U23" s="1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1">
        <v>1</v>
      </c>
      <c r="AB23" s="5">
        <v>0</v>
      </c>
      <c r="AC23" s="5">
        <v>0</v>
      </c>
      <c r="AD23" s="5">
        <v>0</v>
      </c>
      <c r="AE23" s="5">
        <v>0</v>
      </c>
      <c r="AF23" s="5">
        <v>5</v>
      </c>
      <c r="AG23" s="5">
        <v>5</v>
      </c>
      <c r="AH23" s="1">
        <v>1</v>
      </c>
      <c r="AI23" s="6">
        <v>0.35</v>
      </c>
      <c r="AJ23" s="7">
        <v>38.6</v>
      </c>
      <c r="AK23" s="7">
        <v>48</v>
      </c>
    </row>
    <row r="24" s="1" customFormat="1" spans="1:37">
      <c r="A24" s="1">
        <v>23</v>
      </c>
      <c r="B24" s="5">
        <v>2</v>
      </c>
      <c r="C24" s="5">
        <v>86</v>
      </c>
      <c r="D24" s="5">
        <v>3</v>
      </c>
      <c r="E24" s="5">
        <v>1</v>
      </c>
      <c r="F24" s="5">
        <v>147</v>
      </c>
      <c r="G24" s="5">
        <v>49</v>
      </c>
      <c r="H24" s="1">
        <f t="shared" si="0"/>
        <v>22.6757369614512</v>
      </c>
      <c r="I24" s="5">
        <v>0</v>
      </c>
      <c r="J24" s="5">
        <v>0</v>
      </c>
      <c r="K24" s="5">
        <v>0</v>
      </c>
      <c r="L24" s="5">
        <v>0</v>
      </c>
      <c r="M24" s="5">
        <v>2</v>
      </c>
      <c r="N24" s="5">
        <v>4</v>
      </c>
      <c r="O24" s="5">
        <v>45</v>
      </c>
      <c r="P24" s="13" t="s">
        <v>73</v>
      </c>
      <c r="Q24" s="5">
        <v>500</v>
      </c>
      <c r="R24" s="13" t="s">
        <v>47</v>
      </c>
      <c r="S24" s="13" t="s">
        <v>45</v>
      </c>
      <c r="T24" s="1">
        <v>0</v>
      </c>
      <c r="U24" s="1">
        <v>0</v>
      </c>
      <c r="V24" s="5"/>
      <c r="W24" s="5"/>
      <c r="X24" s="5">
        <v>0</v>
      </c>
      <c r="Y24" s="5">
        <v>0</v>
      </c>
      <c r="Z24" s="5">
        <v>0</v>
      </c>
      <c r="AA24" s="1">
        <v>0</v>
      </c>
      <c r="AB24" s="5">
        <v>0</v>
      </c>
      <c r="AC24" s="5">
        <v>0</v>
      </c>
      <c r="AD24" s="5">
        <v>0</v>
      </c>
      <c r="AE24" s="5">
        <v>0</v>
      </c>
      <c r="AF24" s="5">
        <v>3</v>
      </c>
      <c r="AG24" s="5">
        <v>7</v>
      </c>
      <c r="AH24" s="1">
        <v>3</v>
      </c>
      <c r="AI24" s="6">
        <v>0.26</v>
      </c>
      <c r="AJ24" s="7">
        <v>32.7</v>
      </c>
      <c r="AK24" s="7">
        <v>52</v>
      </c>
    </row>
    <row r="25" s="1" customFormat="1" spans="1:37">
      <c r="A25" s="1">
        <v>25</v>
      </c>
      <c r="B25" s="5">
        <v>2</v>
      </c>
      <c r="C25" s="5">
        <v>80</v>
      </c>
      <c r="D25" s="5">
        <v>2</v>
      </c>
      <c r="E25" s="5">
        <v>2</v>
      </c>
      <c r="F25" s="5">
        <v>162</v>
      </c>
      <c r="G25" s="5">
        <v>63</v>
      </c>
      <c r="H25" s="1">
        <f t="shared" si="0"/>
        <v>24.0054869684499</v>
      </c>
      <c r="I25" s="5">
        <v>0</v>
      </c>
      <c r="J25" s="5">
        <v>0</v>
      </c>
      <c r="K25" s="5">
        <v>0</v>
      </c>
      <c r="L25" s="5">
        <v>1</v>
      </c>
      <c r="M25" s="5">
        <v>2</v>
      </c>
      <c r="N25" s="5">
        <v>4</v>
      </c>
      <c r="O25" s="5">
        <v>80</v>
      </c>
      <c r="P25" s="13" t="s">
        <v>74</v>
      </c>
      <c r="Q25" s="5">
        <v>1400</v>
      </c>
      <c r="R25" s="13" t="s">
        <v>52</v>
      </c>
      <c r="S25" s="13" t="s">
        <v>52</v>
      </c>
      <c r="T25" s="1">
        <v>400</v>
      </c>
      <c r="U25" s="1">
        <v>0</v>
      </c>
      <c r="V25" s="1">
        <v>200</v>
      </c>
      <c r="W25" s="1">
        <v>400</v>
      </c>
      <c r="X25" s="1">
        <v>1</v>
      </c>
      <c r="Y25" s="1">
        <v>1</v>
      </c>
      <c r="Z25" s="1">
        <v>1</v>
      </c>
      <c r="AA25" s="1">
        <v>0</v>
      </c>
      <c r="AB25" s="5">
        <v>0</v>
      </c>
      <c r="AC25" s="5">
        <v>0</v>
      </c>
      <c r="AD25" s="5">
        <v>0</v>
      </c>
      <c r="AE25" s="5">
        <v>1</v>
      </c>
      <c r="AF25" s="5">
        <v>2</v>
      </c>
      <c r="AG25" s="5">
        <v>8</v>
      </c>
      <c r="AH25" s="1">
        <v>2</v>
      </c>
      <c r="AI25" s="6">
        <v>0.266</v>
      </c>
      <c r="AJ25" s="7">
        <v>34.8</v>
      </c>
      <c r="AK25" s="7">
        <v>46</v>
      </c>
    </row>
    <row r="26" s="1" customFormat="1" spans="1:37">
      <c r="A26" s="1">
        <v>26</v>
      </c>
      <c r="B26" s="5">
        <v>1</v>
      </c>
      <c r="C26" s="5">
        <v>81</v>
      </c>
      <c r="D26" s="5">
        <v>2</v>
      </c>
      <c r="E26" s="5">
        <v>2</v>
      </c>
      <c r="F26" s="5">
        <v>170</v>
      </c>
      <c r="G26" s="5">
        <v>50</v>
      </c>
      <c r="H26" s="1">
        <f t="shared" si="0"/>
        <v>17.3010380622837</v>
      </c>
      <c r="I26" s="5">
        <v>1</v>
      </c>
      <c r="J26" s="5">
        <v>0</v>
      </c>
      <c r="K26" s="5">
        <v>0</v>
      </c>
      <c r="L26" s="5">
        <v>0</v>
      </c>
      <c r="M26" s="5">
        <v>2</v>
      </c>
      <c r="N26" s="5">
        <v>4</v>
      </c>
      <c r="O26" s="5">
        <v>50</v>
      </c>
      <c r="P26" s="13" t="s">
        <v>75</v>
      </c>
      <c r="Q26" s="5">
        <v>800</v>
      </c>
      <c r="R26" s="13" t="s">
        <v>52</v>
      </c>
      <c r="S26" s="13" t="s">
        <v>58</v>
      </c>
      <c r="T26" s="1">
        <v>0</v>
      </c>
      <c r="U26" s="1">
        <v>0</v>
      </c>
      <c r="V26" s="5">
        <v>600</v>
      </c>
      <c r="W26" s="5">
        <v>0</v>
      </c>
      <c r="X26" s="5">
        <v>0</v>
      </c>
      <c r="Y26" s="5">
        <v>1</v>
      </c>
      <c r="Z26" s="5">
        <v>1</v>
      </c>
      <c r="AA26" s="1">
        <v>0</v>
      </c>
      <c r="AB26" s="5">
        <v>0</v>
      </c>
      <c r="AC26" s="5">
        <v>0</v>
      </c>
      <c r="AD26" s="5">
        <v>0</v>
      </c>
      <c r="AE26" s="5">
        <v>0</v>
      </c>
      <c r="AF26" s="5">
        <v>8</v>
      </c>
      <c r="AG26" s="5">
        <v>9</v>
      </c>
      <c r="AH26" s="1">
        <v>4</v>
      </c>
      <c r="AI26" s="6">
        <v>0.254</v>
      </c>
      <c r="AJ26" s="7">
        <v>35</v>
      </c>
      <c r="AK26" s="7">
        <v>388</v>
      </c>
    </row>
    <row r="27" s="1" customFormat="1" spans="1:37">
      <c r="A27" s="1">
        <v>27</v>
      </c>
      <c r="B27" s="5">
        <v>2</v>
      </c>
      <c r="C27" s="5">
        <v>89</v>
      </c>
      <c r="D27" s="5">
        <v>2</v>
      </c>
      <c r="E27" s="5">
        <v>2</v>
      </c>
      <c r="F27" s="5">
        <v>160</v>
      </c>
      <c r="G27" s="5">
        <v>60</v>
      </c>
      <c r="H27" s="1">
        <f t="shared" si="0"/>
        <v>23.4375</v>
      </c>
      <c r="I27" s="5">
        <v>0</v>
      </c>
      <c r="J27" s="5">
        <v>0</v>
      </c>
      <c r="K27" s="5">
        <v>0</v>
      </c>
      <c r="L27" s="5">
        <v>0</v>
      </c>
      <c r="M27" s="5">
        <v>2</v>
      </c>
      <c r="N27" s="5">
        <v>4</v>
      </c>
      <c r="O27" s="5">
        <v>80</v>
      </c>
      <c r="P27" s="13" t="s">
        <v>76</v>
      </c>
      <c r="Q27" s="5">
        <v>500</v>
      </c>
      <c r="R27" s="13" t="s">
        <v>45</v>
      </c>
      <c r="S27" s="13" t="s">
        <v>77</v>
      </c>
      <c r="T27" s="1">
        <v>400</v>
      </c>
      <c r="U27" s="1">
        <v>0</v>
      </c>
      <c r="V27" s="5">
        <v>600</v>
      </c>
      <c r="W27" s="5">
        <v>200</v>
      </c>
      <c r="X27" s="5">
        <v>1</v>
      </c>
      <c r="Y27" s="5">
        <v>1</v>
      </c>
      <c r="Z27" s="5">
        <v>1</v>
      </c>
      <c r="AA27" s="1">
        <v>12</v>
      </c>
      <c r="AB27" s="5">
        <v>0</v>
      </c>
      <c r="AC27" s="5">
        <v>1</v>
      </c>
      <c r="AD27" s="5">
        <v>0</v>
      </c>
      <c r="AE27" s="5">
        <v>0</v>
      </c>
      <c r="AF27" s="5">
        <v>4</v>
      </c>
      <c r="AG27" s="5">
        <v>16</v>
      </c>
      <c r="AH27" s="1">
        <v>3</v>
      </c>
      <c r="AI27" s="6">
        <v>0.223</v>
      </c>
      <c r="AJ27" s="7">
        <v>30.8</v>
      </c>
      <c r="AK27" s="7">
        <v>66</v>
      </c>
    </row>
    <row r="28" s="1" customFormat="1" spans="1:37">
      <c r="A28" s="1">
        <v>28</v>
      </c>
      <c r="B28" s="5">
        <v>2</v>
      </c>
      <c r="C28" s="5">
        <v>88</v>
      </c>
      <c r="D28" s="5">
        <v>3</v>
      </c>
      <c r="E28" s="5">
        <v>2</v>
      </c>
      <c r="F28" s="5">
        <v>155</v>
      </c>
      <c r="G28" s="5">
        <v>55</v>
      </c>
      <c r="H28" s="1">
        <f t="shared" si="0"/>
        <v>22.8928199791883</v>
      </c>
      <c r="I28" s="5">
        <v>1</v>
      </c>
      <c r="J28" s="5">
        <v>1</v>
      </c>
      <c r="K28" s="5">
        <v>0</v>
      </c>
      <c r="L28" s="5">
        <v>0</v>
      </c>
      <c r="M28" s="5">
        <v>2</v>
      </c>
      <c r="N28" s="5">
        <v>4</v>
      </c>
      <c r="O28" s="5">
        <v>120</v>
      </c>
      <c r="P28" s="13" t="s">
        <v>78</v>
      </c>
      <c r="Q28" s="5">
        <v>1100</v>
      </c>
      <c r="R28" s="13" t="s">
        <v>45</v>
      </c>
      <c r="S28" s="13" t="s">
        <v>42</v>
      </c>
      <c r="T28" s="1">
        <v>200</v>
      </c>
      <c r="U28" s="1">
        <v>0</v>
      </c>
      <c r="V28" s="5">
        <v>0</v>
      </c>
      <c r="W28" s="5">
        <v>0</v>
      </c>
      <c r="X28" s="5">
        <v>1</v>
      </c>
      <c r="Y28" s="5">
        <v>0</v>
      </c>
      <c r="Z28" s="5">
        <v>1</v>
      </c>
      <c r="AA28" s="1">
        <v>0</v>
      </c>
      <c r="AB28" s="5">
        <v>0</v>
      </c>
      <c r="AC28" s="5">
        <v>0</v>
      </c>
      <c r="AD28" s="5">
        <v>0</v>
      </c>
      <c r="AE28" s="5">
        <v>0</v>
      </c>
      <c r="AF28" s="5">
        <v>3</v>
      </c>
      <c r="AG28" s="5">
        <v>4</v>
      </c>
      <c r="AH28" s="1">
        <v>2</v>
      </c>
      <c r="AI28" s="6">
        <v>0.255</v>
      </c>
      <c r="AJ28" s="7">
        <v>35.6</v>
      </c>
      <c r="AK28" s="7">
        <v>97</v>
      </c>
    </row>
    <row r="29" s="1" customFormat="1" spans="1:37">
      <c r="A29" s="1">
        <v>29</v>
      </c>
      <c r="B29" s="5">
        <v>1</v>
      </c>
      <c r="C29" s="5">
        <v>69</v>
      </c>
      <c r="D29" s="5">
        <v>3</v>
      </c>
      <c r="E29" s="5">
        <v>2</v>
      </c>
      <c r="F29" s="5">
        <v>175</v>
      </c>
      <c r="G29" s="5">
        <v>65</v>
      </c>
      <c r="H29" s="1">
        <f t="shared" si="0"/>
        <v>21.2244897959184</v>
      </c>
      <c r="I29" s="5">
        <v>1</v>
      </c>
      <c r="J29" s="5">
        <v>1</v>
      </c>
      <c r="K29" s="5">
        <v>0</v>
      </c>
      <c r="L29" s="5">
        <v>1</v>
      </c>
      <c r="M29" s="5">
        <v>2</v>
      </c>
      <c r="N29" s="5">
        <v>4</v>
      </c>
      <c r="O29" s="5">
        <v>60</v>
      </c>
      <c r="P29" s="13" t="s">
        <v>79</v>
      </c>
      <c r="Q29" s="5">
        <v>1000</v>
      </c>
      <c r="R29" s="13" t="s">
        <v>50</v>
      </c>
      <c r="S29" s="13" t="s">
        <v>45</v>
      </c>
      <c r="T29" s="1">
        <v>0</v>
      </c>
      <c r="U29" s="1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1">
        <v>0</v>
      </c>
      <c r="AB29" s="5">
        <v>0</v>
      </c>
      <c r="AC29" s="5">
        <v>0</v>
      </c>
      <c r="AD29" s="5">
        <v>0</v>
      </c>
      <c r="AE29" s="5">
        <v>0</v>
      </c>
      <c r="AF29" s="5">
        <v>4</v>
      </c>
      <c r="AG29" s="5">
        <v>8</v>
      </c>
      <c r="AH29" s="1">
        <v>0</v>
      </c>
      <c r="AI29" s="6">
        <v>0.479</v>
      </c>
      <c r="AJ29" s="7">
        <v>38.6</v>
      </c>
      <c r="AK29" s="7">
        <v>67</v>
      </c>
    </row>
    <row r="30" s="1" customFormat="1" spans="1:37">
      <c r="A30" s="1">
        <v>30</v>
      </c>
      <c r="B30" s="5">
        <v>1</v>
      </c>
      <c r="C30" s="5">
        <v>77</v>
      </c>
      <c r="D30" s="5">
        <v>2</v>
      </c>
      <c r="E30" s="5">
        <v>2</v>
      </c>
      <c r="F30" s="5">
        <v>170</v>
      </c>
      <c r="G30" s="5">
        <v>63</v>
      </c>
      <c r="H30" s="1">
        <f t="shared" si="0"/>
        <v>21.7993079584775</v>
      </c>
      <c r="I30" s="5">
        <v>1</v>
      </c>
      <c r="J30" s="5">
        <v>0</v>
      </c>
      <c r="K30" s="5">
        <v>0</v>
      </c>
      <c r="L30" s="5">
        <v>0</v>
      </c>
      <c r="M30" s="5">
        <v>2</v>
      </c>
      <c r="N30" s="5">
        <v>4</v>
      </c>
      <c r="O30" s="5">
        <v>220</v>
      </c>
      <c r="P30" s="13" t="s">
        <v>80</v>
      </c>
      <c r="Q30" s="5">
        <v>2000</v>
      </c>
      <c r="R30" s="13" t="s">
        <v>68</v>
      </c>
      <c r="S30" s="13" t="s">
        <v>52</v>
      </c>
      <c r="T30" s="1">
        <v>400</v>
      </c>
      <c r="U30" s="1">
        <v>0</v>
      </c>
      <c r="V30" s="5">
        <v>400</v>
      </c>
      <c r="W30" s="5">
        <v>400</v>
      </c>
      <c r="X30" s="5">
        <v>1</v>
      </c>
      <c r="Y30" s="5">
        <v>1</v>
      </c>
      <c r="Z30" s="5">
        <v>1</v>
      </c>
      <c r="AA30" s="1">
        <v>0</v>
      </c>
      <c r="AB30" s="5">
        <v>0</v>
      </c>
      <c r="AC30" s="5">
        <v>0</v>
      </c>
      <c r="AD30" s="5">
        <v>0</v>
      </c>
      <c r="AE30" s="5">
        <v>0</v>
      </c>
      <c r="AF30" s="5">
        <v>4</v>
      </c>
      <c r="AG30" s="5">
        <v>26</v>
      </c>
      <c r="AH30" s="1">
        <v>3</v>
      </c>
      <c r="AI30" s="6">
        <v>0.288</v>
      </c>
      <c r="AJ30" s="7">
        <v>36.1</v>
      </c>
      <c r="AK30" s="7">
        <v>297</v>
      </c>
    </row>
    <row r="31" s="1" customFormat="1" spans="1:37">
      <c r="A31" s="1">
        <v>31</v>
      </c>
      <c r="B31" s="5">
        <v>2</v>
      </c>
      <c r="C31" s="5">
        <v>78</v>
      </c>
      <c r="D31" s="5">
        <v>3</v>
      </c>
      <c r="E31" s="5">
        <v>1</v>
      </c>
      <c r="F31" s="5">
        <v>157</v>
      </c>
      <c r="G31" s="5">
        <v>55</v>
      </c>
      <c r="H31" s="1">
        <f t="shared" si="0"/>
        <v>22.3132784291452</v>
      </c>
      <c r="I31" s="5">
        <v>1</v>
      </c>
      <c r="J31" s="5">
        <v>0</v>
      </c>
      <c r="K31" s="5">
        <v>1</v>
      </c>
      <c r="L31" s="5">
        <v>0</v>
      </c>
      <c r="M31" s="5">
        <v>2</v>
      </c>
      <c r="N31" s="5">
        <v>4</v>
      </c>
      <c r="O31" s="5">
        <v>80</v>
      </c>
      <c r="P31" s="13" t="s">
        <v>66</v>
      </c>
      <c r="Q31" s="5">
        <v>900</v>
      </c>
      <c r="R31" s="13" t="s">
        <v>50</v>
      </c>
      <c r="S31" s="13" t="s">
        <v>45</v>
      </c>
      <c r="T31" s="1">
        <v>0</v>
      </c>
      <c r="U31" s="1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1">
        <v>0</v>
      </c>
      <c r="AB31" s="5">
        <v>1</v>
      </c>
      <c r="AC31" s="5">
        <v>0</v>
      </c>
      <c r="AD31" s="5">
        <v>0</v>
      </c>
      <c r="AE31" s="5">
        <v>0</v>
      </c>
      <c r="AF31" s="5">
        <v>9</v>
      </c>
      <c r="AG31" s="5">
        <v>14</v>
      </c>
      <c r="AH31" s="1">
        <v>3</v>
      </c>
      <c r="AI31" s="6">
        <v>0.307</v>
      </c>
      <c r="AJ31" s="7">
        <v>26.9</v>
      </c>
      <c r="AK31" s="7">
        <v>97</v>
      </c>
    </row>
    <row r="32" s="1" customFormat="1" spans="1:37">
      <c r="A32" s="1">
        <v>32</v>
      </c>
      <c r="B32" s="5">
        <v>2</v>
      </c>
      <c r="C32" s="5">
        <v>79</v>
      </c>
      <c r="D32" s="5">
        <v>3</v>
      </c>
      <c r="E32" s="5">
        <v>2</v>
      </c>
      <c r="F32" s="5">
        <v>150</v>
      </c>
      <c r="G32" s="5">
        <v>65</v>
      </c>
      <c r="H32" s="1">
        <f t="shared" si="0"/>
        <v>28.8888888888889</v>
      </c>
      <c r="I32" s="5">
        <v>0</v>
      </c>
      <c r="J32" s="5">
        <v>0</v>
      </c>
      <c r="K32" s="5">
        <v>1</v>
      </c>
      <c r="L32" s="5">
        <v>0</v>
      </c>
      <c r="M32" s="5">
        <v>2</v>
      </c>
      <c r="N32" s="5">
        <v>4</v>
      </c>
      <c r="O32" s="5">
        <v>60</v>
      </c>
      <c r="P32" s="13" t="s">
        <v>81</v>
      </c>
      <c r="Q32" s="5">
        <v>800</v>
      </c>
      <c r="R32" s="13" t="s">
        <v>50</v>
      </c>
      <c r="S32" s="13" t="s">
        <v>38</v>
      </c>
      <c r="T32" s="1">
        <v>0</v>
      </c>
      <c r="U32" s="1">
        <v>0</v>
      </c>
      <c r="V32" s="5">
        <v>400</v>
      </c>
      <c r="W32" s="5">
        <v>0</v>
      </c>
      <c r="X32" s="5">
        <v>0</v>
      </c>
      <c r="Y32" s="5">
        <v>1</v>
      </c>
      <c r="Z32" s="5">
        <v>1</v>
      </c>
      <c r="AA32" s="1">
        <v>0</v>
      </c>
      <c r="AB32" s="5">
        <v>0</v>
      </c>
      <c r="AC32" s="5">
        <v>0</v>
      </c>
      <c r="AD32" s="5">
        <v>0</v>
      </c>
      <c r="AE32" s="5">
        <v>0</v>
      </c>
      <c r="AF32" s="5">
        <v>4</v>
      </c>
      <c r="AG32" s="5">
        <v>6</v>
      </c>
      <c r="AH32" s="1">
        <v>2</v>
      </c>
      <c r="AI32" s="6">
        <v>0.203</v>
      </c>
      <c r="AJ32" s="7">
        <v>38.7</v>
      </c>
      <c r="AK32" s="7">
        <v>78</v>
      </c>
    </row>
    <row r="33" s="1" customFormat="1" spans="1:37">
      <c r="A33" s="1">
        <v>34</v>
      </c>
      <c r="B33" s="1">
        <v>1</v>
      </c>
      <c r="C33" s="1">
        <v>83</v>
      </c>
      <c r="D33" s="1">
        <v>3</v>
      </c>
      <c r="E33" s="1">
        <v>2</v>
      </c>
      <c r="F33" s="1">
        <v>170</v>
      </c>
      <c r="G33" s="1">
        <v>60</v>
      </c>
      <c r="H33" s="1">
        <f t="shared" si="0"/>
        <v>20.7612456747405</v>
      </c>
      <c r="I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75</v>
      </c>
      <c r="P33" s="1">
        <v>144</v>
      </c>
      <c r="Q33" s="1">
        <v>800</v>
      </c>
      <c r="R33" s="1">
        <v>100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11</v>
      </c>
      <c r="AH33" s="1">
        <v>2</v>
      </c>
      <c r="AI33" s="6">
        <v>0.362</v>
      </c>
      <c r="AJ33" s="7">
        <v>33.8</v>
      </c>
      <c r="AK33" s="7">
        <v>98</v>
      </c>
    </row>
    <row r="34" s="1" customFormat="1" spans="1:37">
      <c r="A34" s="1">
        <v>35</v>
      </c>
      <c r="B34" s="1">
        <v>2</v>
      </c>
      <c r="C34" s="1">
        <v>89</v>
      </c>
      <c r="D34" s="1">
        <v>3</v>
      </c>
      <c r="E34" s="1">
        <v>2</v>
      </c>
      <c r="F34" s="1">
        <v>162</v>
      </c>
      <c r="G34" s="1">
        <v>57</v>
      </c>
      <c r="H34" s="1">
        <f t="shared" si="0"/>
        <v>21.7192501143118</v>
      </c>
      <c r="I34" s="1">
        <v>1</v>
      </c>
      <c r="J34" s="1">
        <v>1</v>
      </c>
      <c r="K34" s="1">
        <v>0</v>
      </c>
      <c r="L34" s="1">
        <v>0</v>
      </c>
      <c r="M34" s="1">
        <v>1</v>
      </c>
      <c r="N34" s="1">
        <v>1</v>
      </c>
      <c r="O34" s="1">
        <v>90</v>
      </c>
      <c r="P34" s="1">
        <v>173</v>
      </c>
      <c r="Q34" s="1">
        <v>900</v>
      </c>
      <c r="R34" s="1">
        <v>100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5</v>
      </c>
      <c r="AG34" s="1">
        <v>9</v>
      </c>
      <c r="AH34" s="1">
        <v>1</v>
      </c>
      <c r="AI34" s="6">
        <v>0.385</v>
      </c>
      <c r="AJ34" s="7">
        <v>37</v>
      </c>
      <c r="AK34" s="7">
        <v>83</v>
      </c>
    </row>
    <row r="35" s="1" customFormat="1" spans="1:37">
      <c r="A35" s="1">
        <v>36</v>
      </c>
      <c r="B35" s="1">
        <v>2</v>
      </c>
      <c r="C35" s="1">
        <v>81</v>
      </c>
      <c r="D35" s="1">
        <v>2</v>
      </c>
      <c r="E35" s="1">
        <v>2</v>
      </c>
      <c r="F35" s="1">
        <v>165</v>
      </c>
      <c r="G35" s="1">
        <v>60</v>
      </c>
      <c r="H35" s="1">
        <f t="shared" si="0"/>
        <v>22.038567493113</v>
      </c>
      <c r="I35" s="1">
        <v>0</v>
      </c>
      <c r="J35" s="1">
        <v>0</v>
      </c>
      <c r="K35" s="1">
        <v>1</v>
      </c>
      <c r="L35" s="1">
        <v>0</v>
      </c>
      <c r="M35" s="1">
        <v>1</v>
      </c>
      <c r="N35" s="1">
        <v>1</v>
      </c>
      <c r="O35" s="1">
        <v>60</v>
      </c>
      <c r="P35" s="1">
        <v>114</v>
      </c>
      <c r="Q35" s="1">
        <v>800</v>
      </c>
      <c r="R35" s="1">
        <v>150</v>
      </c>
      <c r="S35" s="1">
        <v>500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5</v>
      </c>
      <c r="AB35" s="1">
        <v>0</v>
      </c>
      <c r="AC35" s="1">
        <v>0</v>
      </c>
      <c r="AD35" s="1">
        <v>0</v>
      </c>
      <c r="AE35" s="1">
        <v>0</v>
      </c>
      <c r="AF35" s="1">
        <v>3</v>
      </c>
      <c r="AG35" s="1">
        <v>7</v>
      </c>
      <c r="AH35" s="1">
        <v>2</v>
      </c>
      <c r="AI35" s="6">
        <v>0.346</v>
      </c>
      <c r="AJ35" s="7">
        <v>37.4</v>
      </c>
      <c r="AK35" s="7">
        <v>67</v>
      </c>
    </row>
    <row r="36" s="1" customFormat="1" spans="1:37">
      <c r="A36" s="1">
        <v>40</v>
      </c>
      <c r="B36" s="1">
        <v>1</v>
      </c>
      <c r="C36" s="1">
        <v>79</v>
      </c>
      <c r="D36" s="1">
        <v>3</v>
      </c>
      <c r="E36" s="1">
        <v>2</v>
      </c>
      <c r="F36" s="1">
        <v>175</v>
      </c>
      <c r="G36" s="1">
        <v>75</v>
      </c>
      <c r="H36" s="1">
        <f t="shared" si="0"/>
        <v>24.4897959183673</v>
      </c>
      <c r="I36" s="1">
        <v>1</v>
      </c>
      <c r="J36" s="1">
        <v>0</v>
      </c>
      <c r="K36" s="1">
        <v>1</v>
      </c>
      <c r="L36" s="1">
        <v>0</v>
      </c>
      <c r="M36" s="1">
        <v>1</v>
      </c>
      <c r="N36" s="1">
        <v>1</v>
      </c>
      <c r="O36" s="1">
        <v>60</v>
      </c>
      <c r="P36" s="1">
        <v>176</v>
      </c>
      <c r="Q36" s="1">
        <v>1300</v>
      </c>
      <c r="R36" s="1">
        <v>100</v>
      </c>
      <c r="S36" s="1">
        <v>0</v>
      </c>
      <c r="T36" s="1">
        <v>0</v>
      </c>
      <c r="U36" s="1">
        <v>0</v>
      </c>
      <c r="V36" s="1">
        <v>400</v>
      </c>
      <c r="W36" s="1">
        <v>400</v>
      </c>
      <c r="X36" s="1">
        <v>0</v>
      </c>
      <c r="Y36" s="1">
        <v>1</v>
      </c>
      <c r="Z36" s="1">
        <v>1</v>
      </c>
      <c r="AA36" s="1">
        <v>3</v>
      </c>
      <c r="AB36" s="1">
        <v>0</v>
      </c>
      <c r="AC36" s="1">
        <v>1</v>
      </c>
      <c r="AD36" s="1">
        <v>0</v>
      </c>
      <c r="AE36" s="1">
        <v>0</v>
      </c>
      <c r="AF36" s="1">
        <v>7</v>
      </c>
      <c r="AG36" s="1">
        <v>14</v>
      </c>
      <c r="AH36" s="1">
        <v>2</v>
      </c>
      <c r="AI36" s="6">
        <v>0.379</v>
      </c>
      <c r="AJ36" s="7">
        <v>32.9</v>
      </c>
      <c r="AK36" s="7">
        <v>58</v>
      </c>
    </row>
    <row r="37" s="1" customFormat="1" spans="1:37">
      <c r="A37" s="1">
        <v>44</v>
      </c>
      <c r="B37" s="1">
        <v>2</v>
      </c>
      <c r="C37" s="1">
        <v>74</v>
      </c>
      <c r="D37" s="1">
        <v>3</v>
      </c>
      <c r="E37" s="1">
        <v>2</v>
      </c>
      <c r="F37" s="1">
        <v>158</v>
      </c>
      <c r="G37" s="1">
        <v>55</v>
      </c>
      <c r="H37" s="1">
        <f t="shared" si="0"/>
        <v>22.0317256849864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1</v>
      </c>
      <c r="O37" s="1">
        <v>80</v>
      </c>
      <c r="P37" s="1">
        <v>159</v>
      </c>
      <c r="Q37" s="1">
        <v>800</v>
      </c>
      <c r="R37" s="1">
        <v>200</v>
      </c>
      <c r="S37" s="1">
        <v>100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5</v>
      </c>
      <c r="AG37" s="1">
        <v>14</v>
      </c>
      <c r="AH37" s="1">
        <v>2</v>
      </c>
      <c r="AI37" s="6">
        <v>0.331</v>
      </c>
      <c r="AJ37" s="7">
        <v>38.1</v>
      </c>
      <c r="AK37" s="7">
        <v>45</v>
      </c>
    </row>
    <row r="38" s="1" customFormat="1" spans="1:37">
      <c r="A38" s="1">
        <v>45</v>
      </c>
      <c r="B38" s="1">
        <v>2</v>
      </c>
      <c r="C38" s="1">
        <v>83</v>
      </c>
      <c r="D38" s="1">
        <v>3</v>
      </c>
      <c r="E38" s="1">
        <v>2</v>
      </c>
      <c r="F38" s="1">
        <v>155</v>
      </c>
      <c r="G38" s="1">
        <v>40</v>
      </c>
      <c r="H38" s="1">
        <f t="shared" si="0"/>
        <v>16.6493236212279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70</v>
      </c>
      <c r="P38" s="1">
        <v>182</v>
      </c>
      <c r="Q38" s="1">
        <v>1100</v>
      </c>
      <c r="R38" s="1">
        <v>200</v>
      </c>
      <c r="S38" s="1">
        <v>50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</v>
      </c>
      <c r="AB38" s="1">
        <v>0</v>
      </c>
      <c r="AC38" s="1">
        <v>1</v>
      </c>
      <c r="AD38" s="1">
        <v>0</v>
      </c>
      <c r="AE38" s="1">
        <v>0</v>
      </c>
      <c r="AF38" s="1">
        <v>4</v>
      </c>
      <c r="AG38" s="8" t="s">
        <v>82</v>
      </c>
      <c r="AH38" s="1">
        <v>3</v>
      </c>
      <c r="AI38" s="6">
        <v>0.367</v>
      </c>
      <c r="AJ38" s="7">
        <v>32.3</v>
      </c>
      <c r="AK38" s="7">
        <v>55</v>
      </c>
    </row>
    <row r="39" s="1" customFormat="1" spans="1:37">
      <c r="A39" s="1">
        <v>46</v>
      </c>
      <c r="B39" s="1">
        <v>2</v>
      </c>
      <c r="C39" s="1">
        <v>81</v>
      </c>
      <c r="D39" s="1">
        <v>2</v>
      </c>
      <c r="E39" s="1">
        <v>2</v>
      </c>
      <c r="F39" s="1">
        <v>155</v>
      </c>
      <c r="G39" s="1">
        <v>50</v>
      </c>
      <c r="H39" s="1">
        <f t="shared" si="0"/>
        <v>20.8116545265349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100</v>
      </c>
      <c r="P39" s="1">
        <v>140</v>
      </c>
      <c r="Q39" s="1">
        <v>800</v>
      </c>
      <c r="R39" s="1">
        <v>200</v>
      </c>
      <c r="S39" s="1">
        <v>350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4</v>
      </c>
      <c r="AG39" s="1">
        <v>6</v>
      </c>
      <c r="AH39" s="1">
        <v>1</v>
      </c>
      <c r="AI39" s="6">
        <v>0.396</v>
      </c>
      <c r="AJ39" s="7">
        <v>39.7</v>
      </c>
      <c r="AK39" s="7">
        <v>60</v>
      </c>
    </row>
    <row r="40" s="1" customFormat="1" spans="1:37">
      <c r="A40" s="1">
        <v>47</v>
      </c>
      <c r="B40" s="1">
        <v>2</v>
      </c>
      <c r="C40" s="1">
        <v>79</v>
      </c>
      <c r="D40" s="1">
        <v>2</v>
      </c>
      <c r="E40" s="1">
        <v>2</v>
      </c>
      <c r="F40" s="1">
        <v>150</v>
      </c>
      <c r="G40" s="1">
        <v>60</v>
      </c>
      <c r="H40" s="1">
        <f t="shared" si="0"/>
        <v>26.6666666666667</v>
      </c>
      <c r="I40" s="1">
        <v>1</v>
      </c>
      <c r="J40" s="1">
        <v>0</v>
      </c>
      <c r="K40" s="1">
        <v>0</v>
      </c>
      <c r="L40" s="1">
        <v>1</v>
      </c>
      <c r="M40" s="1">
        <v>1</v>
      </c>
      <c r="N40" s="1">
        <v>1</v>
      </c>
      <c r="O40" s="1">
        <v>75</v>
      </c>
      <c r="P40" s="1">
        <v>219</v>
      </c>
      <c r="Q40" s="1">
        <v>1300</v>
      </c>
      <c r="R40" s="1">
        <v>100</v>
      </c>
      <c r="S40" s="1">
        <v>700</v>
      </c>
      <c r="T40" s="1">
        <v>200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2</v>
      </c>
      <c r="AG40" s="1">
        <v>8</v>
      </c>
      <c r="AH40" s="1">
        <v>2</v>
      </c>
      <c r="AI40" s="6">
        <v>0.343</v>
      </c>
      <c r="AJ40" s="7">
        <v>40.4</v>
      </c>
      <c r="AK40" s="7">
        <v>46</v>
      </c>
    </row>
    <row r="41" s="1" customFormat="1" spans="1:37">
      <c r="A41" s="1">
        <v>48</v>
      </c>
      <c r="B41" s="1">
        <v>2</v>
      </c>
      <c r="C41" s="1">
        <v>80</v>
      </c>
      <c r="D41" s="1">
        <v>1</v>
      </c>
      <c r="E41" s="1">
        <v>1</v>
      </c>
      <c r="F41" s="1">
        <v>160</v>
      </c>
      <c r="G41" s="1">
        <v>52</v>
      </c>
      <c r="H41" s="1">
        <f t="shared" si="0"/>
        <v>20.3125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95</v>
      </c>
      <c r="P41" s="1">
        <v>164</v>
      </c>
      <c r="Q41" s="1">
        <v>1300</v>
      </c>
      <c r="R41" s="1">
        <v>100</v>
      </c>
      <c r="S41" s="1">
        <v>80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0</v>
      </c>
      <c r="AC41" s="1">
        <v>1</v>
      </c>
      <c r="AD41" s="1">
        <v>0</v>
      </c>
      <c r="AE41" s="1">
        <v>0</v>
      </c>
      <c r="AF41" s="1">
        <v>3</v>
      </c>
      <c r="AG41" s="1">
        <v>5</v>
      </c>
      <c r="AH41" s="1">
        <v>1</v>
      </c>
      <c r="AI41" s="6">
        <v>0.386</v>
      </c>
      <c r="AJ41" s="7">
        <v>41.2</v>
      </c>
      <c r="AK41" s="7">
        <v>63</v>
      </c>
    </row>
    <row r="42" s="1" customFormat="1" spans="1:37">
      <c r="A42" s="1">
        <v>49</v>
      </c>
      <c r="B42" s="1">
        <v>2</v>
      </c>
      <c r="C42" s="1">
        <v>83</v>
      </c>
      <c r="D42" s="1">
        <v>2</v>
      </c>
      <c r="E42" s="1">
        <v>2</v>
      </c>
      <c r="F42" s="1">
        <v>167</v>
      </c>
      <c r="G42" s="1">
        <v>50</v>
      </c>
      <c r="H42" s="1">
        <f t="shared" si="0"/>
        <v>17.9282154254366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160</v>
      </c>
      <c r="P42" s="1">
        <v>250</v>
      </c>
      <c r="Q42" s="1">
        <v>1600</v>
      </c>
      <c r="R42" s="1">
        <v>600</v>
      </c>
      <c r="S42" s="1">
        <v>100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2</v>
      </c>
      <c r="AB42" s="1">
        <v>0</v>
      </c>
      <c r="AC42" s="1">
        <v>0</v>
      </c>
      <c r="AD42" s="1">
        <v>0</v>
      </c>
      <c r="AE42" s="1">
        <v>0</v>
      </c>
      <c r="AF42" s="1">
        <v>3</v>
      </c>
      <c r="AG42" s="1">
        <v>4</v>
      </c>
      <c r="AH42" s="1">
        <v>3</v>
      </c>
      <c r="AI42" s="6">
        <v>0.288</v>
      </c>
      <c r="AJ42" s="7">
        <v>38.5</v>
      </c>
      <c r="AK42" s="7">
        <v>37</v>
      </c>
    </row>
    <row r="43" s="1" customFormat="1" spans="1:37">
      <c r="A43" s="1">
        <v>50</v>
      </c>
      <c r="B43" s="1">
        <v>2</v>
      </c>
      <c r="C43" s="1">
        <v>70</v>
      </c>
      <c r="D43" s="1">
        <v>3</v>
      </c>
      <c r="E43" s="1">
        <v>2</v>
      </c>
      <c r="F43" s="1">
        <v>158</v>
      </c>
      <c r="G43" s="1">
        <v>82</v>
      </c>
      <c r="H43" s="1">
        <f t="shared" si="0"/>
        <v>32.8473001121615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60</v>
      </c>
      <c r="P43" s="1">
        <v>163</v>
      </c>
      <c r="Q43" s="1">
        <v>1300</v>
      </c>
      <c r="R43" s="1">
        <v>180</v>
      </c>
      <c r="S43" s="1">
        <v>100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8</v>
      </c>
      <c r="AG43" s="1">
        <v>8</v>
      </c>
      <c r="AH43" s="1">
        <v>0</v>
      </c>
      <c r="AI43" s="6">
        <v>0.36</v>
      </c>
      <c r="AJ43" s="7">
        <v>36</v>
      </c>
      <c r="AK43" s="7">
        <v>68</v>
      </c>
    </row>
    <row r="44" s="1" customFormat="1" spans="1:37">
      <c r="A44" s="1">
        <v>51</v>
      </c>
      <c r="B44" s="1">
        <v>2</v>
      </c>
      <c r="C44" s="1">
        <v>91</v>
      </c>
      <c r="D44" s="1">
        <v>2</v>
      </c>
      <c r="E44" s="1">
        <v>2</v>
      </c>
      <c r="F44" s="1">
        <v>157</v>
      </c>
      <c r="G44" s="1">
        <v>55</v>
      </c>
      <c r="H44" s="1">
        <f t="shared" si="0"/>
        <v>22.3132784291452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>
        <v>90</v>
      </c>
      <c r="P44" s="1">
        <v>172</v>
      </c>
      <c r="Q44" s="1">
        <v>1100</v>
      </c>
      <c r="R44" s="1">
        <v>200</v>
      </c>
      <c r="S44" s="1">
        <v>150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5</v>
      </c>
      <c r="AG44" s="1">
        <v>29</v>
      </c>
      <c r="AH44" s="1">
        <v>2</v>
      </c>
      <c r="AI44" s="6">
        <v>0.378</v>
      </c>
      <c r="AJ44" s="7">
        <v>33.3</v>
      </c>
      <c r="AK44" s="7">
        <v>75</v>
      </c>
    </row>
    <row r="45" s="1" customFormat="1" spans="1:37">
      <c r="A45" s="1">
        <v>52</v>
      </c>
      <c r="B45" s="1">
        <v>2</v>
      </c>
      <c r="C45" s="1">
        <v>73</v>
      </c>
      <c r="D45" s="1">
        <v>3</v>
      </c>
      <c r="E45" s="1">
        <v>2</v>
      </c>
      <c r="F45" s="1">
        <v>158</v>
      </c>
      <c r="G45" s="1">
        <v>60</v>
      </c>
      <c r="H45" s="1">
        <f t="shared" si="0"/>
        <v>24.034609838167</v>
      </c>
      <c r="I45" s="1">
        <v>1</v>
      </c>
      <c r="J45" s="1">
        <v>1</v>
      </c>
      <c r="K45" s="1">
        <v>1</v>
      </c>
      <c r="L45" s="1">
        <v>0</v>
      </c>
      <c r="M45" s="1">
        <v>1</v>
      </c>
      <c r="N45" s="1">
        <v>1</v>
      </c>
      <c r="O45" s="1">
        <v>70</v>
      </c>
      <c r="P45" s="1">
        <v>153</v>
      </c>
      <c r="Q45" s="1">
        <v>900</v>
      </c>
      <c r="R45" s="1">
        <v>150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6</v>
      </c>
      <c r="AG45" s="1">
        <v>8</v>
      </c>
      <c r="AH45" s="1">
        <v>2</v>
      </c>
      <c r="AI45" s="6">
        <v>0.339</v>
      </c>
      <c r="AJ45" s="7">
        <v>36.4</v>
      </c>
      <c r="AK45" s="7">
        <v>61</v>
      </c>
    </row>
    <row r="46" s="1" customFormat="1" spans="1:37">
      <c r="A46" s="1">
        <v>53</v>
      </c>
      <c r="B46" s="1">
        <v>2</v>
      </c>
      <c r="C46" s="1">
        <v>90</v>
      </c>
      <c r="D46" s="1">
        <v>2</v>
      </c>
      <c r="E46" s="1">
        <v>2</v>
      </c>
      <c r="F46" s="1">
        <v>156</v>
      </c>
      <c r="G46" s="1">
        <v>40</v>
      </c>
      <c r="H46" s="1">
        <f t="shared" si="0"/>
        <v>16.4365548980934</v>
      </c>
      <c r="I46" s="1">
        <v>0</v>
      </c>
      <c r="J46" s="1">
        <v>0</v>
      </c>
      <c r="K46" s="1">
        <v>1</v>
      </c>
      <c r="L46" s="1">
        <v>0</v>
      </c>
      <c r="M46" s="1">
        <v>1</v>
      </c>
      <c r="N46" s="1">
        <v>1</v>
      </c>
      <c r="O46" s="1">
        <v>60</v>
      </c>
      <c r="P46" s="1">
        <v>155</v>
      </c>
      <c r="Q46" s="1">
        <v>500</v>
      </c>
      <c r="R46" s="1">
        <v>20</v>
      </c>
      <c r="S46" s="1">
        <v>100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14</v>
      </c>
      <c r="AH46" s="1">
        <v>3</v>
      </c>
      <c r="AI46" s="6">
        <v>0.291</v>
      </c>
      <c r="AJ46" s="7">
        <v>34.3</v>
      </c>
      <c r="AK46" s="7">
        <v>77</v>
      </c>
    </row>
    <row r="47" s="1" customFormat="1" spans="1:37">
      <c r="A47" s="1">
        <v>54</v>
      </c>
      <c r="B47" s="1">
        <v>2</v>
      </c>
      <c r="C47" s="1">
        <v>86</v>
      </c>
      <c r="D47" s="1">
        <v>2</v>
      </c>
      <c r="E47" s="1">
        <v>2</v>
      </c>
      <c r="F47" s="1">
        <v>158</v>
      </c>
      <c r="G47" s="1">
        <v>65</v>
      </c>
      <c r="H47" s="1">
        <f t="shared" si="0"/>
        <v>26.0374939913475</v>
      </c>
      <c r="I47" s="1">
        <v>1</v>
      </c>
      <c r="J47" s="1">
        <v>0</v>
      </c>
      <c r="K47" s="1">
        <v>0</v>
      </c>
      <c r="L47" s="1">
        <v>1</v>
      </c>
      <c r="M47" s="1">
        <v>1</v>
      </c>
      <c r="N47" s="1">
        <v>1</v>
      </c>
      <c r="O47" s="1">
        <v>100</v>
      </c>
      <c r="P47" s="1">
        <v>219</v>
      </c>
      <c r="Q47" s="1">
        <v>1100</v>
      </c>
      <c r="R47" s="1">
        <v>50</v>
      </c>
      <c r="S47" s="1">
        <v>0</v>
      </c>
      <c r="T47" s="1">
        <v>0</v>
      </c>
      <c r="U47" s="1">
        <v>0</v>
      </c>
      <c r="V47" s="1">
        <v>0</v>
      </c>
      <c r="W47" s="1">
        <v>200</v>
      </c>
      <c r="X47" s="1">
        <v>0</v>
      </c>
      <c r="Y47" s="1">
        <v>1</v>
      </c>
      <c r="Z47" s="1">
        <v>1</v>
      </c>
      <c r="AA47" s="1">
        <v>4</v>
      </c>
      <c r="AB47" s="1">
        <v>0</v>
      </c>
      <c r="AC47" s="1">
        <v>1</v>
      </c>
      <c r="AD47" s="1">
        <v>0</v>
      </c>
      <c r="AE47" s="1">
        <v>0</v>
      </c>
      <c r="AF47" s="1">
        <v>5</v>
      </c>
      <c r="AG47" s="1">
        <v>14</v>
      </c>
      <c r="AH47" s="1">
        <v>2</v>
      </c>
      <c r="AI47" s="6">
        <v>0.401</v>
      </c>
      <c r="AJ47" s="7">
        <v>28.7</v>
      </c>
      <c r="AK47" s="7">
        <v>43</v>
      </c>
    </row>
    <row r="48" s="1" customFormat="1" spans="1:37">
      <c r="A48" s="1">
        <v>57</v>
      </c>
      <c r="B48" s="1">
        <v>2</v>
      </c>
      <c r="C48" s="1">
        <v>83</v>
      </c>
      <c r="D48" s="1">
        <v>2</v>
      </c>
      <c r="E48" s="1">
        <v>2</v>
      </c>
      <c r="F48" s="1">
        <v>156</v>
      </c>
      <c r="G48" s="1">
        <v>43</v>
      </c>
      <c r="H48" s="1">
        <f t="shared" si="0"/>
        <v>17.6692965154504</v>
      </c>
      <c r="I48" s="1">
        <v>1</v>
      </c>
      <c r="J48" s="1">
        <v>1</v>
      </c>
      <c r="K48" s="1">
        <v>0</v>
      </c>
      <c r="L48" s="1">
        <v>0</v>
      </c>
      <c r="M48" s="1">
        <v>1</v>
      </c>
      <c r="N48" s="1">
        <v>1</v>
      </c>
      <c r="O48" s="1">
        <v>100</v>
      </c>
      <c r="P48" s="1">
        <v>153</v>
      </c>
      <c r="Q48" s="1">
        <v>1300</v>
      </c>
      <c r="R48" s="1">
        <v>100</v>
      </c>
      <c r="S48" s="1">
        <v>200</v>
      </c>
      <c r="T48" s="1">
        <v>200</v>
      </c>
      <c r="U48" s="1">
        <v>200</v>
      </c>
      <c r="V48" s="1">
        <v>0</v>
      </c>
      <c r="W48" s="1">
        <v>0</v>
      </c>
      <c r="X48" s="1">
        <v>1</v>
      </c>
      <c r="Y48" s="1">
        <v>0</v>
      </c>
      <c r="Z48" s="1">
        <v>1</v>
      </c>
      <c r="AA48" s="1">
        <v>3</v>
      </c>
      <c r="AB48" s="1">
        <v>0</v>
      </c>
      <c r="AC48" s="1">
        <v>0</v>
      </c>
      <c r="AD48" s="1">
        <v>0</v>
      </c>
      <c r="AE48" s="1">
        <v>0</v>
      </c>
      <c r="AF48" s="1">
        <v>3</v>
      </c>
      <c r="AG48" s="1">
        <v>8</v>
      </c>
      <c r="AH48" s="1">
        <v>2</v>
      </c>
      <c r="AI48" s="6">
        <v>0.387</v>
      </c>
      <c r="AJ48" s="7">
        <v>38.6</v>
      </c>
      <c r="AK48" s="7">
        <v>32</v>
      </c>
    </row>
    <row r="49" s="1" customFormat="1" spans="1:37">
      <c r="A49" s="1">
        <v>58</v>
      </c>
      <c r="B49" s="1">
        <v>2</v>
      </c>
      <c r="C49" s="1">
        <v>77</v>
      </c>
      <c r="D49" s="1">
        <v>3</v>
      </c>
      <c r="E49" s="1">
        <v>2</v>
      </c>
      <c r="F49" s="1">
        <v>158</v>
      </c>
      <c r="G49" s="1">
        <v>50</v>
      </c>
      <c r="H49" s="1">
        <f t="shared" si="0"/>
        <v>20.0288415318058</v>
      </c>
      <c r="I49" s="1">
        <v>1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90</v>
      </c>
      <c r="P49" s="1">
        <v>169</v>
      </c>
      <c r="Q49" s="1">
        <v>1000</v>
      </c>
      <c r="R49" s="1">
        <v>100</v>
      </c>
      <c r="S49" s="1">
        <v>90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7</v>
      </c>
      <c r="AG49" s="1">
        <v>9</v>
      </c>
      <c r="AH49" s="1">
        <v>1</v>
      </c>
      <c r="AI49" s="1">
        <v>0.367</v>
      </c>
      <c r="AJ49" s="7">
        <v>38</v>
      </c>
      <c r="AK49" s="7">
        <v>43</v>
      </c>
    </row>
    <row r="50" s="1" customFormat="1" spans="1:37">
      <c r="A50" s="1">
        <v>59</v>
      </c>
      <c r="B50" s="1">
        <v>2</v>
      </c>
      <c r="C50" s="1">
        <v>78</v>
      </c>
      <c r="D50" s="1">
        <v>3</v>
      </c>
      <c r="E50" s="1">
        <v>2</v>
      </c>
      <c r="F50" s="1">
        <v>155</v>
      </c>
      <c r="G50" s="1">
        <v>60</v>
      </c>
      <c r="H50" s="1">
        <f t="shared" si="0"/>
        <v>24.9739854318418</v>
      </c>
      <c r="I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  <c r="O50" s="1">
        <v>140</v>
      </c>
      <c r="P50" s="1">
        <v>190</v>
      </c>
      <c r="Q50" s="1">
        <v>1200</v>
      </c>
      <c r="R50" s="1">
        <v>150</v>
      </c>
      <c r="S50" s="1">
        <v>100</v>
      </c>
      <c r="T50" s="1">
        <v>0</v>
      </c>
      <c r="U50" s="1">
        <v>0</v>
      </c>
      <c r="V50" s="1">
        <v>400</v>
      </c>
      <c r="W50" s="1">
        <v>400</v>
      </c>
      <c r="X50" s="1">
        <v>0</v>
      </c>
      <c r="Y50" s="1">
        <v>1</v>
      </c>
      <c r="Z50" s="1">
        <v>1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4</v>
      </c>
      <c r="AG50" s="1">
        <v>8</v>
      </c>
      <c r="AH50" s="1">
        <v>1</v>
      </c>
      <c r="AI50" s="6">
        <v>0.366</v>
      </c>
      <c r="AJ50" s="7">
        <v>38.4</v>
      </c>
      <c r="AK50" s="7">
        <v>41</v>
      </c>
    </row>
    <row r="51" s="1" customFormat="1" spans="1:37">
      <c r="A51" s="1">
        <v>62</v>
      </c>
      <c r="B51" s="1">
        <v>2</v>
      </c>
      <c r="C51" s="1">
        <v>66</v>
      </c>
      <c r="D51" s="1">
        <v>2</v>
      </c>
      <c r="E51" s="1">
        <v>2</v>
      </c>
      <c r="F51" s="1">
        <v>154</v>
      </c>
      <c r="G51" s="1">
        <v>46</v>
      </c>
      <c r="H51" s="1">
        <f t="shared" si="0"/>
        <v>19.3961882273571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130</v>
      </c>
      <c r="P51" s="1">
        <v>203</v>
      </c>
      <c r="Q51" s="1">
        <v>1800</v>
      </c>
      <c r="R51" s="1">
        <v>1100</v>
      </c>
      <c r="S51" s="1">
        <v>200</v>
      </c>
      <c r="T51" s="1">
        <v>200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1">
        <v>0</v>
      </c>
      <c r="AA51" s="1">
        <v>2</v>
      </c>
      <c r="AB51" s="1">
        <v>0</v>
      </c>
      <c r="AC51" s="1">
        <v>0</v>
      </c>
      <c r="AD51" s="1">
        <v>0</v>
      </c>
      <c r="AE51" s="1">
        <v>0</v>
      </c>
      <c r="AF51" s="1">
        <v>5</v>
      </c>
      <c r="AG51" s="1">
        <v>20</v>
      </c>
      <c r="AH51" s="1">
        <v>0</v>
      </c>
      <c r="AI51" s="9">
        <v>0.38</v>
      </c>
      <c r="AJ51" s="7">
        <v>38.7</v>
      </c>
      <c r="AK51" s="7">
        <v>45</v>
      </c>
    </row>
    <row r="52" s="1" customFormat="1" spans="1:37">
      <c r="A52" s="1">
        <v>63</v>
      </c>
      <c r="B52" s="1">
        <v>2</v>
      </c>
      <c r="C52" s="1">
        <v>74</v>
      </c>
      <c r="D52" s="1">
        <v>3</v>
      </c>
      <c r="E52" s="1">
        <v>2</v>
      </c>
      <c r="F52" s="1">
        <v>163</v>
      </c>
      <c r="G52" s="1">
        <v>60</v>
      </c>
      <c r="H52" s="1">
        <f t="shared" si="0"/>
        <v>22.5827091723437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90</v>
      </c>
      <c r="P52" s="1">
        <v>164</v>
      </c>
      <c r="Q52" s="1">
        <v>1100</v>
      </c>
      <c r="R52" s="1">
        <v>150</v>
      </c>
      <c r="S52" s="1">
        <v>100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2</v>
      </c>
      <c r="AG52" s="1">
        <v>11</v>
      </c>
      <c r="AH52" s="1">
        <v>1</v>
      </c>
      <c r="AI52" s="6">
        <v>0.359</v>
      </c>
      <c r="AJ52" s="7">
        <v>39.7</v>
      </c>
      <c r="AK52" s="7">
        <v>71</v>
      </c>
    </row>
    <row r="53" s="1" customFormat="1" spans="1:37">
      <c r="A53" s="1">
        <v>64</v>
      </c>
      <c r="B53" s="1">
        <v>1</v>
      </c>
      <c r="C53" s="1">
        <v>77</v>
      </c>
      <c r="D53" s="1">
        <v>2</v>
      </c>
      <c r="E53" s="1">
        <v>2</v>
      </c>
      <c r="F53" s="1">
        <v>178</v>
      </c>
      <c r="G53" s="1">
        <v>74</v>
      </c>
      <c r="H53" s="1">
        <f t="shared" si="0"/>
        <v>23.355636914531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90</v>
      </c>
      <c r="P53" s="1">
        <v>189</v>
      </c>
      <c r="Q53" s="1">
        <v>1300</v>
      </c>
      <c r="R53" s="1">
        <v>250</v>
      </c>
      <c r="S53" s="1">
        <v>300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6</v>
      </c>
      <c r="AG53" s="1">
        <v>7</v>
      </c>
      <c r="AH53" s="1">
        <v>2</v>
      </c>
      <c r="AI53" s="6">
        <v>0.347</v>
      </c>
      <c r="AJ53" s="7">
        <v>35.4</v>
      </c>
      <c r="AK53" s="7">
        <v>78</v>
      </c>
    </row>
    <row r="54" s="1" customFormat="1" spans="1:37">
      <c r="A54" s="1">
        <v>66</v>
      </c>
      <c r="B54" s="1">
        <v>1</v>
      </c>
      <c r="C54" s="1">
        <v>89</v>
      </c>
      <c r="D54" s="1">
        <v>3</v>
      </c>
      <c r="E54" s="1">
        <v>2</v>
      </c>
      <c r="F54" s="1">
        <v>175</v>
      </c>
      <c r="G54" s="1">
        <v>60</v>
      </c>
      <c r="H54" s="1">
        <f t="shared" si="0"/>
        <v>19.5918367346939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90</v>
      </c>
      <c r="P54" s="1">
        <v>157</v>
      </c>
      <c r="Q54" s="1">
        <v>900</v>
      </c>
      <c r="R54" s="1">
        <v>100</v>
      </c>
      <c r="S54" s="1">
        <v>50</v>
      </c>
      <c r="T54" s="1">
        <v>0</v>
      </c>
      <c r="U54" s="1">
        <v>0</v>
      </c>
      <c r="V54" s="1">
        <v>200</v>
      </c>
      <c r="W54" s="1">
        <v>200</v>
      </c>
      <c r="X54" s="1">
        <v>0</v>
      </c>
      <c r="Y54" s="1">
        <v>1</v>
      </c>
      <c r="Z54" s="1">
        <v>1</v>
      </c>
      <c r="AA54" s="1">
        <v>13</v>
      </c>
      <c r="AB54" s="1">
        <v>0</v>
      </c>
      <c r="AC54" s="1">
        <v>0</v>
      </c>
      <c r="AD54" s="1">
        <v>0</v>
      </c>
      <c r="AE54" s="1">
        <v>0</v>
      </c>
      <c r="AF54" s="1">
        <v>4</v>
      </c>
      <c r="AG54" s="1">
        <v>11</v>
      </c>
      <c r="AH54" s="1">
        <v>1</v>
      </c>
      <c r="AI54" s="6">
        <v>0.434</v>
      </c>
      <c r="AJ54" s="7">
        <v>36</v>
      </c>
      <c r="AK54" s="7">
        <v>72</v>
      </c>
    </row>
    <row r="55" s="1" customFormat="1" spans="1:37">
      <c r="A55" s="1">
        <v>67</v>
      </c>
      <c r="B55" s="1">
        <v>2</v>
      </c>
      <c r="C55" s="1">
        <v>65</v>
      </c>
      <c r="D55" s="1">
        <v>2</v>
      </c>
      <c r="E55" s="1">
        <v>2</v>
      </c>
      <c r="F55" s="1">
        <v>158</v>
      </c>
      <c r="G55" s="1">
        <v>75</v>
      </c>
      <c r="H55" s="1">
        <f t="shared" si="0"/>
        <v>30.0432622977087</v>
      </c>
      <c r="I55" s="1">
        <v>1</v>
      </c>
      <c r="J55" s="1">
        <v>0</v>
      </c>
      <c r="K55" s="1">
        <v>0</v>
      </c>
      <c r="L55" s="1">
        <v>1</v>
      </c>
      <c r="M55" s="1">
        <v>1</v>
      </c>
      <c r="N55" s="1">
        <v>1</v>
      </c>
      <c r="O55" s="1">
        <v>100</v>
      </c>
      <c r="P55" s="1">
        <v>160</v>
      </c>
      <c r="Q55" s="1">
        <v>1350</v>
      </c>
      <c r="R55" s="1">
        <v>200</v>
      </c>
      <c r="S55" s="1">
        <v>300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2</v>
      </c>
      <c r="AB55" s="1">
        <v>0</v>
      </c>
      <c r="AC55" s="1">
        <v>0</v>
      </c>
      <c r="AD55" s="1">
        <v>0</v>
      </c>
      <c r="AE55" s="1">
        <v>0</v>
      </c>
      <c r="AF55" s="1">
        <v>6</v>
      </c>
      <c r="AG55" s="1">
        <v>7</v>
      </c>
      <c r="AH55" s="1">
        <v>0</v>
      </c>
      <c r="AI55" s="6">
        <v>0.376</v>
      </c>
      <c r="AJ55" s="7">
        <v>39.1</v>
      </c>
      <c r="AK55" s="7">
        <v>48</v>
      </c>
    </row>
    <row r="56" s="1" customFormat="1" spans="1:37">
      <c r="A56" s="1">
        <v>69</v>
      </c>
      <c r="B56" s="1">
        <v>2</v>
      </c>
      <c r="C56" s="1">
        <v>76</v>
      </c>
      <c r="D56" s="1">
        <v>2</v>
      </c>
      <c r="E56" s="1">
        <v>1</v>
      </c>
      <c r="F56" s="1">
        <v>155</v>
      </c>
      <c r="G56" s="1">
        <v>45</v>
      </c>
      <c r="H56" s="1">
        <f t="shared" si="0"/>
        <v>18.7304890738814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80</v>
      </c>
      <c r="P56" s="1">
        <v>145</v>
      </c>
      <c r="Q56" s="1">
        <v>1200</v>
      </c>
      <c r="R56" s="1">
        <v>200</v>
      </c>
      <c r="S56" s="1">
        <v>100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6</v>
      </c>
      <c r="AG56" s="1">
        <v>6</v>
      </c>
      <c r="AH56" s="1">
        <v>3</v>
      </c>
      <c r="AI56" s="6">
        <v>0.288</v>
      </c>
      <c r="AJ56" s="7">
        <v>35.2</v>
      </c>
      <c r="AK56" s="7">
        <v>203</v>
      </c>
    </row>
    <row r="57" s="1" customFormat="1" spans="1:37">
      <c r="A57" s="1">
        <v>70</v>
      </c>
      <c r="B57" s="1">
        <v>1</v>
      </c>
      <c r="C57" s="1">
        <v>80</v>
      </c>
      <c r="D57" s="1">
        <v>3</v>
      </c>
      <c r="E57" s="1">
        <v>2</v>
      </c>
      <c r="F57" s="1">
        <v>168</v>
      </c>
      <c r="G57" s="1">
        <v>72</v>
      </c>
      <c r="H57" s="1">
        <f t="shared" si="0"/>
        <v>25.5102040816327</v>
      </c>
      <c r="I57" s="1">
        <v>1</v>
      </c>
      <c r="J57" s="1">
        <v>0</v>
      </c>
      <c r="K57" s="1">
        <v>1</v>
      </c>
      <c r="L57" s="1">
        <v>1</v>
      </c>
      <c r="M57" s="1">
        <v>1</v>
      </c>
      <c r="N57" s="1">
        <v>1</v>
      </c>
      <c r="O57" s="1">
        <v>90</v>
      </c>
      <c r="P57" s="1">
        <v>190</v>
      </c>
      <c r="Q57" s="1">
        <v>1300</v>
      </c>
      <c r="R57" s="1">
        <v>300</v>
      </c>
      <c r="S57" s="1">
        <v>140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2</v>
      </c>
      <c r="AG57" s="1">
        <v>12</v>
      </c>
      <c r="AH57" s="1">
        <v>1</v>
      </c>
      <c r="AI57" s="1">
        <v>0.397</v>
      </c>
      <c r="AJ57" s="7">
        <v>42.8</v>
      </c>
      <c r="AK57" s="7">
        <v>78</v>
      </c>
    </row>
    <row r="58" s="1" customFormat="1" spans="1:37">
      <c r="A58" s="1">
        <v>71</v>
      </c>
      <c r="B58" s="1">
        <v>2</v>
      </c>
      <c r="C58" s="1">
        <v>75</v>
      </c>
      <c r="D58" s="1">
        <v>2</v>
      </c>
      <c r="E58" s="1">
        <v>2</v>
      </c>
      <c r="F58" s="1">
        <v>163</v>
      </c>
      <c r="G58" s="1">
        <v>62</v>
      </c>
      <c r="H58" s="1">
        <f t="shared" si="0"/>
        <v>23.3354661447552</v>
      </c>
      <c r="I58" s="1">
        <v>1</v>
      </c>
      <c r="J58" s="1">
        <v>0</v>
      </c>
      <c r="K58" s="1">
        <v>0</v>
      </c>
      <c r="L58" s="1">
        <v>0</v>
      </c>
      <c r="M58" s="1">
        <v>1</v>
      </c>
      <c r="N58" s="1">
        <v>1</v>
      </c>
      <c r="O58" s="1">
        <v>110</v>
      </c>
      <c r="P58" s="1">
        <v>161</v>
      </c>
      <c r="Q58" s="1">
        <v>1600</v>
      </c>
      <c r="R58" s="1">
        <v>200</v>
      </c>
      <c r="S58" s="1">
        <v>200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7</v>
      </c>
      <c r="AG58" s="1">
        <v>7</v>
      </c>
      <c r="AH58" s="1">
        <v>2</v>
      </c>
      <c r="AI58" s="6">
        <v>0.323</v>
      </c>
      <c r="AJ58" s="7">
        <v>36.5</v>
      </c>
      <c r="AK58" s="7">
        <v>53</v>
      </c>
    </row>
    <row r="59" s="1" customFormat="1" spans="1:37">
      <c r="A59" s="1">
        <v>72</v>
      </c>
      <c r="B59" s="1">
        <v>2</v>
      </c>
      <c r="C59" s="1">
        <v>83</v>
      </c>
      <c r="D59" s="1">
        <v>3</v>
      </c>
      <c r="E59" s="1">
        <v>2</v>
      </c>
      <c r="F59" s="1">
        <v>150</v>
      </c>
      <c r="G59" s="1">
        <v>51</v>
      </c>
      <c r="H59" s="1">
        <f t="shared" si="0"/>
        <v>22.6666666666667</v>
      </c>
      <c r="I59" s="1">
        <v>0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>
        <v>70</v>
      </c>
      <c r="P59" s="1">
        <v>178</v>
      </c>
      <c r="Q59" s="1">
        <v>1200</v>
      </c>
      <c r="R59" s="1">
        <v>100</v>
      </c>
      <c r="S59" s="1">
        <v>200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1</v>
      </c>
      <c r="AD59" s="1">
        <v>0</v>
      </c>
      <c r="AE59" s="1">
        <v>0</v>
      </c>
      <c r="AF59" s="1">
        <v>3</v>
      </c>
      <c r="AG59" s="1">
        <v>14</v>
      </c>
      <c r="AH59" s="1">
        <v>1</v>
      </c>
      <c r="AI59" s="6">
        <v>0.359</v>
      </c>
      <c r="AJ59" s="7">
        <v>36.2</v>
      </c>
      <c r="AK59" s="7">
        <v>59</v>
      </c>
    </row>
    <row r="60" s="1" customFormat="1" spans="1:37">
      <c r="A60" s="1">
        <v>73</v>
      </c>
      <c r="B60" s="1">
        <v>2</v>
      </c>
      <c r="C60" s="1">
        <v>68</v>
      </c>
      <c r="D60" s="1">
        <v>2</v>
      </c>
      <c r="E60" s="1">
        <v>2</v>
      </c>
      <c r="F60" s="1">
        <v>158</v>
      </c>
      <c r="G60" s="1">
        <v>60</v>
      </c>
      <c r="H60" s="1">
        <f t="shared" si="0"/>
        <v>24.034609838167</v>
      </c>
      <c r="I60" s="1">
        <v>1</v>
      </c>
      <c r="J60" s="1">
        <v>1</v>
      </c>
      <c r="K60" s="1">
        <v>0</v>
      </c>
      <c r="L60" s="1">
        <v>0</v>
      </c>
      <c r="M60" s="1">
        <v>1</v>
      </c>
      <c r="N60" s="1">
        <v>1</v>
      </c>
      <c r="O60" s="1">
        <v>100</v>
      </c>
      <c r="P60" s="1">
        <v>168</v>
      </c>
      <c r="Q60" s="1">
        <v>1700</v>
      </c>
      <c r="R60" s="1">
        <v>200</v>
      </c>
      <c r="S60" s="1">
        <v>600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5</v>
      </c>
      <c r="AG60" s="1">
        <v>12</v>
      </c>
      <c r="AH60" s="1">
        <v>1</v>
      </c>
      <c r="AI60" s="9">
        <v>0.348</v>
      </c>
      <c r="AJ60" s="7">
        <v>37</v>
      </c>
      <c r="AK60" s="7">
        <v>68</v>
      </c>
    </row>
    <row r="61" s="1" customFormat="1" spans="1:37">
      <c r="A61" s="1">
        <v>74</v>
      </c>
      <c r="B61" s="1">
        <v>1</v>
      </c>
      <c r="C61" s="1">
        <v>66</v>
      </c>
      <c r="D61" s="1">
        <v>2</v>
      </c>
      <c r="E61" s="1">
        <v>2</v>
      </c>
      <c r="F61" s="1">
        <v>170</v>
      </c>
      <c r="G61" s="1">
        <v>70</v>
      </c>
      <c r="H61" s="1">
        <f t="shared" si="0"/>
        <v>24.2214532871972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160</v>
      </c>
      <c r="P61" s="1">
        <v>234</v>
      </c>
      <c r="Q61" s="1">
        <v>1400</v>
      </c>
      <c r="R61" s="1">
        <v>500</v>
      </c>
      <c r="S61" s="1">
        <v>100</v>
      </c>
      <c r="T61" s="1">
        <v>0</v>
      </c>
      <c r="U61" s="1">
        <v>0</v>
      </c>
      <c r="V61" s="1">
        <v>200</v>
      </c>
      <c r="W61" s="1">
        <v>0</v>
      </c>
      <c r="X61" s="1">
        <v>0</v>
      </c>
      <c r="Y61" s="1">
        <v>1</v>
      </c>
      <c r="Z61" s="1">
        <v>1</v>
      </c>
      <c r="AA61" s="1">
        <v>1</v>
      </c>
      <c r="AB61" s="1">
        <v>1</v>
      </c>
      <c r="AC61" s="1">
        <v>0</v>
      </c>
      <c r="AD61" s="1">
        <v>0</v>
      </c>
      <c r="AE61" s="1">
        <v>1</v>
      </c>
      <c r="AF61" s="1">
        <v>11</v>
      </c>
      <c r="AG61" s="1">
        <v>17</v>
      </c>
      <c r="AH61" s="1">
        <v>1</v>
      </c>
      <c r="AI61" s="9">
        <v>0.349</v>
      </c>
      <c r="AJ61" s="7">
        <v>40.5</v>
      </c>
      <c r="AK61" s="7">
        <v>82</v>
      </c>
    </row>
    <row r="62" s="1" customFormat="1" spans="1:37">
      <c r="A62" s="1">
        <v>77</v>
      </c>
      <c r="B62" s="1">
        <v>2</v>
      </c>
      <c r="C62" s="1">
        <v>99</v>
      </c>
      <c r="D62" s="1">
        <v>2</v>
      </c>
      <c r="E62" s="1">
        <v>2</v>
      </c>
      <c r="F62" s="1">
        <v>160</v>
      </c>
      <c r="G62" s="1">
        <v>54</v>
      </c>
      <c r="H62" s="1">
        <f t="shared" si="0"/>
        <v>21.09375</v>
      </c>
      <c r="I62" s="1">
        <v>1</v>
      </c>
      <c r="J62" s="1">
        <v>0</v>
      </c>
      <c r="K62" s="1">
        <v>1</v>
      </c>
      <c r="L62" s="1">
        <v>0</v>
      </c>
      <c r="M62" s="1">
        <v>1</v>
      </c>
      <c r="N62" s="1">
        <v>1</v>
      </c>
      <c r="O62" s="1">
        <v>70</v>
      </c>
      <c r="P62" s="1">
        <v>169</v>
      </c>
      <c r="Q62" s="1">
        <v>500</v>
      </c>
      <c r="R62" s="1">
        <v>150</v>
      </c>
      <c r="S62" s="1">
        <v>400</v>
      </c>
      <c r="T62" s="1">
        <v>0</v>
      </c>
      <c r="U62" s="1">
        <v>0</v>
      </c>
      <c r="V62" s="1">
        <v>200</v>
      </c>
      <c r="W62" s="1">
        <v>200</v>
      </c>
      <c r="X62" s="1">
        <v>0</v>
      </c>
      <c r="Y62" s="1">
        <v>1</v>
      </c>
      <c r="Z62" s="1">
        <v>1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4</v>
      </c>
      <c r="AG62" s="1">
        <v>21</v>
      </c>
      <c r="AH62" s="1">
        <v>3</v>
      </c>
      <c r="AI62" s="6">
        <v>0.324</v>
      </c>
      <c r="AJ62" s="7">
        <v>31.3</v>
      </c>
      <c r="AK62" s="7">
        <v>130</v>
      </c>
    </row>
    <row r="63" s="1" customFormat="1" spans="1:37">
      <c r="A63" s="1">
        <v>78</v>
      </c>
      <c r="B63" s="1">
        <v>1</v>
      </c>
      <c r="C63" s="1">
        <v>74</v>
      </c>
      <c r="D63" s="1">
        <v>2</v>
      </c>
      <c r="E63" s="1">
        <v>2</v>
      </c>
      <c r="F63" s="1">
        <v>175</v>
      </c>
      <c r="G63" s="1">
        <v>50</v>
      </c>
      <c r="H63" s="1">
        <f t="shared" si="0"/>
        <v>16.3265306122449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100</v>
      </c>
      <c r="P63" s="1">
        <v>145</v>
      </c>
      <c r="Q63" s="1">
        <v>1400</v>
      </c>
      <c r="R63" s="1">
        <v>100</v>
      </c>
      <c r="S63" s="1">
        <v>400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2</v>
      </c>
      <c r="AB63" s="1">
        <v>0</v>
      </c>
      <c r="AC63" s="1">
        <v>0</v>
      </c>
      <c r="AD63" s="1">
        <v>0</v>
      </c>
      <c r="AE63" s="1">
        <v>0</v>
      </c>
      <c r="AF63" s="1">
        <v>3</v>
      </c>
      <c r="AG63" s="1">
        <v>13</v>
      </c>
      <c r="AH63" s="1">
        <v>2</v>
      </c>
      <c r="AI63" s="6">
        <v>0.363</v>
      </c>
      <c r="AJ63" s="7">
        <v>35.5</v>
      </c>
      <c r="AK63" s="7">
        <v>81</v>
      </c>
    </row>
    <row r="64" s="1" customFormat="1" spans="1:37">
      <c r="A64" s="1">
        <v>79</v>
      </c>
      <c r="B64" s="1">
        <v>2</v>
      </c>
      <c r="C64" s="1">
        <v>82</v>
      </c>
      <c r="D64" s="1">
        <v>2</v>
      </c>
      <c r="E64" s="1">
        <v>2</v>
      </c>
      <c r="F64" s="1">
        <v>156</v>
      </c>
      <c r="G64" s="1">
        <v>52</v>
      </c>
      <c r="H64" s="1">
        <f t="shared" si="0"/>
        <v>21.3675213675214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1</v>
      </c>
      <c r="O64" s="1">
        <v>80</v>
      </c>
      <c r="P64" s="1">
        <v>148</v>
      </c>
      <c r="Q64" s="1">
        <v>1700</v>
      </c>
      <c r="R64" s="1">
        <v>250</v>
      </c>
      <c r="S64" s="1">
        <v>480</v>
      </c>
      <c r="T64" s="1">
        <v>0</v>
      </c>
      <c r="U64" s="1">
        <v>0</v>
      </c>
      <c r="V64" s="1">
        <v>400</v>
      </c>
      <c r="W64" s="1">
        <v>400</v>
      </c>
      <c r="X64" s="1">
        <v>0</v>
      </c>
      <c r="Y64" s="1">
        <v>1</v>
      </c>
      <c r="Z64" s="1">
        <v>1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5</v>
      </c>
      <c r="AG64" s="1">
        <v>21</v>
      </c>
      <c r="AH64" s="1">
        <v>1</v>
      </c>
      <c r="AI64" s="6">
        <v>0.352</v>
      </c>
      <c r="AJ64" s="7">
        <v>39</v>
      </c>
      <c r="AK64" s="7">
        <v>68</v>
      </c>
    </row>
    <row r="65" s="1" customFormat="1" spans="1:37">
      <c r="A65" s="1">
        <v>80</v>
      </c>
      <c r="B65" s="1">
        <v>2</v>
      </c>
      <c r="C65" s="1">
        <v>80</v>
      </c>
      <c r="D65" s="1">
        <v>3</v>
      </c>
      <c r="E65" s="1">
        <v>2</v>
      </c>
      <c r="F65" s="1">
        <v>160</v>
      </c>
      <c r="G65" s="1">
        <v>78</v>
      </c>
      <c r="H65" s="1">
        <f t="shared" si="0"/>
        <v>30.46875</v>
      </c>
      <c r="I65" s="1">
        <v>0</v>
      </c>
      <c r="J65" s="1">
        <v>1</v>
      </c>
      <c r="K65" s="1">
        <v>1</v>
      </c>
      <c r="L65" s="1">
        <v>0</v>
      </c>
      <c r="M65" s="1">
        <v>1</v>
      </c>
      <c r="N65" s="1">
        <v>1</v>
      </c>
      <c r="O65" s="1">
        <v>100</v>
      </c>
      <c r="P65" s="1">
        <v>150</v>
      </c>
      <c r="Q65" s="1">
        <v>800</v>
      </c>
      <c r="R65" s="1">
        <v>100</v>
      </c>
      <c r="S65" s="1">
        <v>300</v>
      </c>
      <c r="T65" s="1">
        <v>0</v>
      </c>
      <c r="U65" s="1">
        <v>0</v>
      </c>
      <c r="V65" s="1">
        <v>200</v>
      </c>
      <c r="W65" s="1">
        <v>200</v>
      </c>
      <c r="X65" s="1">
        <v>0</v>
      </c>
      <c r="Y65" s="1">
        <v>1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5</v>
      </c>
      <c r="AG65" s="1">
        <v>15</v>
      </c>
      <c r="AH65" s="1">
        <v>1</v>
      </c>
      <c r="AI65" s="6">
        <v>0.357</v>
      </c>
      <c r="AJ65" s="7">
        <v>37.7</v>
      </c>
      <c r="AK65" s="7">
        <v>54</v>
      </c>
    </row>
    <row r="66" s="1" customFormat="1" spans="1:37">
      <c r="A66" s="1">
        <v>81</v>
      </c>
      <c r="B66" s="1">
        <v>2</v>
      </c>
      <c r="C66" s="1">
        <v>79</v>
      </c>
      <c r="D66" s="1">
        <v>3</v>
      </c>
      <c r="E66" s="1">
        <v>1</v>
      </c>
      <c r="F66" s="1">
        <v>160</v>
      </c>
      <c r="G66" s="1">
        <v>55</v>
      </c>
      <c r="H66" s="1">
        <f t="shared" ref="H66:H129" si="1">G66/(F66/100)^2</f>
        <v>21.484375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1</v>
      </c>
      <c r="O66" s="1">
        <v>220</v>
      </c>
      <c r="P66" s="1">
        <v>149</v>
      </c>
      <c r="Q66" s="1">
        <v>7000</v>
      </c>
      <c r="R66" s="1">
        <v>20</v>
      </c>
      <c r="S66" s="1">
        <v>300</v>
      </c>
      <c r="T66" s="1">
        <v>0</v>
      </c>
      <c r="U66" s="1">
        <v>0</v>
      </c>
      <c r="V66" s="1">
        <v>200</v>
      </c>
      <c r="W66" s="1">
        <v>800</v>
      </c>
      <c r="X66" s="1">
        <v>0</v>
      </c>
      <c r="Y66" s="1">
        <v>1</v>
      </c>
      <c r="Z66" s="1">
        <v>1</v>
      </c>
      <c r="AA66" s="1">
        <v>4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53</v>
      </c>
      <c r="AH66" s="1">
        <v>3</v>
      </c>
      <c r="AI66" s="6">
        <v>0.338</v>
      </c>
      <c r="AJ66" s="7">
        <v>33.9</v>
      </c>
      <c r="AK66" s="7">
        <v>37</v>
      </c>
    </row>
    <row r="67" s="1" customFormat="1" spans="1:37">
      <c r="A67" s="1">
        <v>82</v>
      </c>
      <c r="B67" s="1">
        <v>2</v>
      </c>
      <c r="C67" s="1">
        <v>87</v>
      </c>
      <c r="D67" s="1">
        <v>2</v>
      </c>
      <c r="E67" s="1">
        <v>2</v>
      </c>
      <c r="F67" s="1">
        <v>155</v>
      </c>
      <c r="G67" s="1">
        <v>45</v>
      </c>
      <c r="H67" s="1">
        <f t="shared" si="1"/>
        <v>18.7304890738814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1</v>
      </c>
      <c r="O67" s="1">
        <v>70</v>
      </c>
      <c r="P67" s="1">
        <v>117</v>
      </c>
      <c r="Q67" s="1">
        <v>1500</v>
      </c>
      <c r="R67" s="1">
        <v>200</v>
      </c>
      <c r="S67" s="1">
        <v>50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1</v>
      </c>
      <c r="AD67" s="1">
        <v>0</v>
      </c>
      <c r="AE67" s="1">
        <v>0</v>
      </c>
      <c r="AF67" s="1">
        <v>7</v>
      </c>
      <c r="AG67" s="1">
        <v>14</v>
      </c>
      <c r="AH67" s="1">
        <v>3</v>
      </c>
      <c r="AI67" s="6">
        <v>0.321</v>
      </c>
      <c r="AJ67" s="7">
        <v>32.5</v>
      </c>
      <c r="AK67" s="7">
        <v>88</v>
      </c>
    </row>
    <row r="68" s="1" customFormat="1" spans="1:37">
      <c r="A68" s="1">
        <v>83</v>
      </c>
      <c r="B68" s="1">
        <v>2</v>
      </c>
      <c r="C68" s="1">
        <v>79</v>
      </c>
      <c r="D68" s="1">
        <v>3</v>
      </c>
      <c r="E68" s="1">
        <v>2</v>
      </c>
      <c r="F68" s="1">
        <v>155</v>
      </c>
      <c r="G68" s="1">
        <v>65</v>
      </c>
      <c r="H68" s="1">
        <f t="shared" si="1"/>
        <v>27.0551508844953</v>
      </c>
      <c r="I68" s="1">
        <v>1</v>
      </c>
      <c r="J68" s="1">
        <v>1</v>
      </c>
      <c r="K68" s="1">
        <v>0</v>
      </c>
      <c r="L68" s="1">
        <v>0</v>
      </c>
      <c r="M68" s="1">
        <v>1</v>
      </c>
      <c r="N68" s="1">
        <v>1</v>
      </c>
      <c r="O68" s="1">
        <v>90</v>
      </c>
      <c r="P68" s="1">
        <v>152</v>
      </c>
      <c r="Q68" s="1">
        <v>800</v>
      </c>
      <c r="R68" s="1">
        <v>200</v>
      </c>
      <c r="S68" s="1">
        <v>800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4</v>
      </c>
      <c r="AG68" s="1">
        <v>14</v>
      </c>
      <c r="AH68" s="1">
        <v>1</v>
      </c>
      <c r="AI68" s="6">
        <v>0.355</v>
      </c>
      <c r="AJ68" s="7">
        <v>41.1</v>
      </c>
      <c r="AK68" s="7">
        <v>76</v>
      </c>
    </row>
    <row r="69" s="1" customFormat="1" spans="1:37">
      <c r="A69" s="1">
        <v>84</v>
      </c>
      <c r="B69" s="1">
        <v>2</v>
      </c>
      <c r="C69" s="1">
        <v>77</v>
      </c>
      <c r="D69" s="1">
        <v>2</v>
      </c>
      <c r="E69" s="1">
        <v>1</v>
      </c>
      <c r="F69" s="1">
        <v>163</v>
      </c>
      <c r="G69" s="1">
        <v>74</v>
      </c>
      <c r="H69" s="1">
        <f t="shared" si="1"/>
        <v>27.8520079792239</v>
      </c>
      <c r="I69" s="1">
        <v>1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100</v>
      </c>
      <c r="P69" s="1">
        <v>179</v>
      </c>
      <c r="Q69" s="1">
        <v>1700</v>
      </c>
      <c r="R69" s="1">
        <v>100</v>
      </c>
      <c r="S69" s="1">
        <v>300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5</v>
      </c>
      <c r="AB69" s="1">
        <v>0</v>
      </c>
      <c r="AC69" s="1">
        <v>0</v>
      </c>
      <c r="AD69" s="1">
        <v>0</v>
      </c>
      <c r="AE69" s="1">
        <v>0</v>
      </c>
      <c r="AF69" s="1">
        <v>7</v>
      </c>
      <c r="AG69" s="1">
        <v>14</v>
      </c>
      <c r="AH69" s="1">
        <v>2</v>
      </c>
      <c r="AI69" s="6">
        <v>0.325</v>
      </c>
      <c r="AJ69" s="7">
        <v>35.6</v>
      </c>
      <c r="AK69" s="7">
        <v>68</v>
      </c>
    </row>
    <row r="70" s="1" customFormat="1" spans="1:37">
      <c r="A70" s="1">
        <v>85</v>
      </c>
      <c r="B70" s="1">
        <v>2</v>
      </c>
      <c r="C70" s="1">
        <v>84</v>
      </c>
      <c r="D70" s="1">
        <v>2</v>
      </c>
      <c r="E70" s="1">
        <v>2</v>
      </c>
      <c r="F70" s="1">
        <v>155</v>
      </c>
      <c r="G70" s="1">
        <v>40</v>
      </c>
      <c r="H70" s="1">
        <f t="shared" si="1"/>
        <v>16.6493236212279</v>
      </c>
      <c r="I70" s="1">
        <v>0</v>
      </c>
      <c r="J70" s="1">
        <v>1</v>
      </c>
      <c r="K70" s="1">
        <v>1</v>
      </c>
      <c r="L70" s="1">
        <v>0</v>
      </c>
      <c r="M70" s="1">
        <v>2</v>
      </c>
      <c r="N70" s="1">
        <v>1</v>
      </c>
      <c r="O70" s="1">
        <v>90</v>
      </c>
      <c r="P70" s="1">
        <v>145</v>
      </c>
      <c r="Q70" s="1">
        <v>1000</v>
      </c>
      <c r="R70" s="1">
        <v>100</v>
      </c>
      <c r="S70" s="1">
        <v>100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5</v>
      </c>
      <c r="AG70" s="1">
        <v>7</v>
      </c>
      <c r="AH70" s="1">
        <v>3</v>
      </c>
      <c r="AI70" s="1">
        <v>0.329</v>
      </c>
      <c r="AJ70" s="7">
        <v>37.6</v>
      </c>
      <c r="AK70" s="7">
        <v>61</v>
      </c>
    </row>
    <row r="71" s="1" customFormat="1" spans="1:37">
      <c r="A71" s="1">
        <v>86</v>
      </c>
      <c r="B71" s="1">
        <v>2</v>
      </c>
      <c r="C71" s="1">
        <v>96</v>
      </c>
      <c r="D71" s="1">
        <v>2</v>
      </c>
      <c r="E71" s="1">
        <v>2</v>
      </c>
      <c r="F71" s="1">
        <v>150</v>
      </c>
      <c r="G71" s="1">
        <v>43</v>
      </c>
      <c r="H71" s="1">
        <f t="shared" si="1"/>
        <v>19.1111111111111</v>
      </c>
      <c r="I71" s="1">
        <v>1</v>
      </c>
      <c r="J71" s="1">
        <v>0</v>
      </c>
      <c r="K71" s="1">
        <v>1</v>
      </c>
      <c r="L71" s="1">
        <v>0</v>
      </c>
      <c r="M71" s="1">
        <v>1</v>
      </c>
      <c r="N71" s="1">
        <v>1</v>
      </c>
      <c r="O71" s="1">
        <v>110</v>
      </c>
      <c r="P71" s="1">
        <v>200</v>
      </c>
      <c r="Q71" s="1">
        <v>800</v>
      </c>
      <c r="R71" s="1">
        <v>50</v>
      </c>
      <c r="S71" s="1">
        <v>50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5</v>
      </c>
      <c r="AG71" s="1">
        <v>19</v>
      </c>
      <c r="AH71" s="1">
        <v>1</v>
      </c>
      <c r="AI71" s="6">
        <v>0.425</v>
      </c>
      <c r="AJ71" s="7">
        <v>36.8</v>
      </c>
      <c r="AK71" s="7">
        <v>63</v>
      </c>
    </row>
    <row r="72" s="1" customFormat="1" spans="1:37">
      <c r="A72" s="1">
        <v>87</v>
      </c>
      <c r="B72" s="1">
        <v>1</v>
      </c>
      <c r="C72" s="1">
        <v>71</v>
      </c>
      <c r="D72" s="1">
        <v>2</v>
      </c>
      <c r="E72" s="1">
        <v>2</v>
      </c>
      <c r="F72" s="1">
        <v>172</v>
      </c>
      <c r="G72" s="1">
        <v>62</v>
      </c>
      <c r="H72" s="1">
        <f t="shared" si="1"/>
        <v>20.9572742022715</v>
      </c>
      <c r="I72" s="1">
        <v>1</v>
      </c>
      <c r="J72" s="1">
        <v>0</v>
      </c>
      <c r="K72" s="1">
        <v>0</v>
      </c>
      <c r="L72" s="1">
        <v>0</v>
      </c>
      <c r="M72" s="1">
        <v>1</v>
      </c>
      <c r="N72" s="1">
        <v>1</v>
      </c>
      <c r="O72" s="1">
        <v>120</v>
      </c>
      <c r="P72" s="1">
        <v>184</v>
      </c>
      <c r="Q72" s="1">
        <v>1200</v>
      </c>
      <c r="R72" s="1">
        <v>100</v>
      </c>
      <c r="S72" s="1">
        <v>150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0</v>
      </c>
      <c r="AC72" s="1">
        <v>0</v>
      </c>
      <c r="AD72" s="1">
        <v>0</v>
      </c>
      <c r="AE72" s="1">
        <v>0</v>
      </c>
      <c r="AF72" s="1">
        <v>8</v>
      </c>
      <c r="AG72" s="1">
        <v>12</v>
      </c>
      <c r="AH72" s="1">
        <v>2</v>
      </c>
      <c r="AI72" s="6">
        <v>0.343</v>
      </c>
      <c r="AJ72" s="7">
        <v>39.2</v>
      </c>
      <c r="AK72" s="7">
        <v>69</v>
      </c>
    </row>
    <row r="73" s="1" customFormat="1" spans="1:37">
      <c r="A73" s="1">
        <v>89</v>
      </c>
      <c r="B73" s="1">
        <v>2</v>
      </c>
      <c r="C73" s="1">
        <v>74</v>
      </c>
      <c r="D73" s="1">
        <v>2</v>
      </c>
      <c r="E73" s="1">
        <v>2</v>
      </c>
      <c r="F73" s="1">
        <v>160</v>
      </c>
      <c r="G73" s="1">
        <v>50</v>
      </c>
      <c r="H73" s="1">
        <f t="shared" si="1"/>
        <v>19.53125</v>
      </c>
      <c r="I73" s="1">
        <v>1</v>
      </c>
      <c r="J73" s="1">
        <v>1</v>
      </c>
      <c r="K73" s="1">
        <v>1</v>
      </c>
      <c r="L73" s="1">
        <v>0</v>
      </c>
      <c r="M73" s="1">
        <v>1</v>
      </c>
      <c r="N73" s="1">
        <v>1</v>
      </c>
      <c r="O73" s="1">
        <v>130</v>
      </c>
      <c r="P73" s="1">
        <v>194</v>
      </c>
      <c r="Q73" s="1">
        <v>900</v>
      </c>
      <c r="R73" s="1">
        <v>100</v>
      </c>
      <c r="S73" s="1">
        <v>0</v>
      </c>
      <c r="T73" s="1">
        <v>0</v>
      </c>
      <c r="U73" s="1">
        <v>0</v>
      </c>
      <c r="V73" s="1">
        <v>400</v>
      </c>
      <c r="W73" s="1">
        <v>200</v>
      </c>
      <c r="X73" s="1">
        <v>0</v>
      </c>
      <c r="Y73" s="1">
        <v>1</v>
      </c>
      <c r="Z73" s="1">
        <v>1</v>
      </c>
      <c r="AA73" s="1">
        <v>1</v>
      </c>
      <c r="AB73" s="1">
        <v>0</v>
      </c>
      <c r="AC73" s="1">
        <v>0</v>
      </c>
      <c r="AD73" s="1">
        <v>0</v>
      </c>
      <c r="AE73" s="1">
        <v>1</v>
      </c>
      <c r="AF73" s="1">
        <v>8</v>
      </c>
      <c r="AG73" s="1">
        <v>14</v>
      </c>
      <c r="AH73" s="1">
        <v>2</v>
      </c>
      <c r="AI73" s="6">
        <v>0.319</v>
      </c>
      <c r="AJ73" s="7">
        <v>37.7</v>
      </c>
      <c r="AK73" s="7">
        <v>51</v>
      </c>
    </row>
    <row r="74" s="1" customFormat="1" spans="1:37">
      <c r="A74" s="1">
        <v>90</v>
      </c>
      <c r="B74" s="1">
        <v>2</v>
      </c>
      <c r="C74" s="1">
        <v>84</v>
      </c>
      <c r="D74" s="1">
        <v>2</v>
      </c>
      <c r="E74" s="1">
        <v>2</v>
      </c>
      <c r="F74" s="1">
        <v>150</v>
      </c>
      <c r="G74" s="1">
        <v>49</v>
      </c>
      <c r="H74" s="1">
        <f t="shared" si="1"/>
        <v>21.7777777777778</v>
      </c>
      <c r="I74" s="1">
        <v>1</v>
      </c>
      <c r="J74" s="1">
        <v>0</v>
      </c>
      <c r="K74" s="1">
        <v>0</v>
      </c>
      <c r="L74" s="1">
        <v>0</v>
      </c>
      <c r="M74" s="1">
        <v>1</v>
      </c>
      <c r="N74" s="1">
        <v>1</v>
      </c>
      <c r="O74" s="1">
        <v>70</v>
      </c>
      <c r="P74" s="1">
        <v>120</v>
      </c>
      <c r="Q74" s="1">
        <v>500</v>
      </c>
      <c r="R74" s="1">
        <v>50</v>
      </c>
      <c r="S74" s="1">
        <v>150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4</v>
      </c>
      <c r="AG74" s="1">
        <v>3</v>
      </c>
      <c r="AH74" s="1">
        <v>1</v>
      </c>
      <c r="AI74" s="6">
        <v>0.363</v>
      </c>
      <c r="AJ74" s="7">
        <v>38.8</v>
      </c>
      <c r="AK74" s="7">
        <v>59</v>
      </c>
    </row>
    <row r="75" s="1" customFormat="1" spans="1:37">
      <c r="A75" s="1">
        <v>91</v>
      </c>
      <c r="B75" s="1">
        <v>2</v>
      </c>
      <c r="C75" s="1">
        <v>77</v>
      </c>
      <c r="D75" s="1">
        <v>2</v>
      </c>
      <c r="E75" s="1">
        <v>2</v>
      </c>
      <c r="F75" s="1">
        <v>160</v>
      </c>
      <c r="G75" s="1">
        <v>53</v>
      </c>
      <c r="H75" s="1">
        <f t="shared" si="1"/>
        <v>20.703125</v>
      </c>
      <c r="I75" s="1">
        <v>1</v>
      </c>
      <c r="J75" s="1">
        <v>0</v>
      </c>
      <c r="K75" s="1">
        <v>1</v>
      </c>
      <c r="L75" s="1">
        <v>0</v>
      </c>
      <c r="M75" s="1">
        <v>1</v>
      </c>
      <c r="N75" s="1">
        <v>1</v>
      </c>
      <c r="O75" s="1">
        <v>70</v>
      </c>
      <c r="P75" s="1">
        <v>155</v>
      </c>
      <c r="Q75" s="1">
        <v>900</v>
      </c>
      <c r="R75" s="1">
        <v>50</v>
      </c>
      <c r="S75" s="1">
        <v>100</v>
      </c>
      <c r="T75" s="1">
        <v>0</v>
      </c>
      <c r="U75" s="1">
        <v>200</v>
      </c>
      <c r="V75" s="1">
        <v>0</v>
      </c>
      <c r="W75" s="1">
        <v>0</v>
      </c>
      <c r="X75" s="1">
        <v>1</v>
      </c>
      <c r="Y75" s="1">
        <v>0</v>
      </c>
      <c r="Z75" s="1">
        <v>1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6</v>
      </c>
      <c r="AG75" s="1">
        <v>8</v>
      </c>
      <c r="AH75" s="1">
        <v>2</v>
      </c>
      <c r="AI75" s="6">
        <v>0.292</v>
      </c>
      <c r="AJ75" s="7">
        <v>35.4</v>
      </c>
      <c r="AK75" s="7">
        <v>91</v>
      </c>
    </row>
    <row r="76" s="1" customFormat="1" spans="1:37">
      <c r="A76" s="1">
        <v>92</v>
      </c>
      <c r="B76" s="1">
        <v>2</v>
      </c>
      <c r="C76" s="1">
        <v>81</v>
      </c>
      <c r="D76" s="1">
        <v>2</v>
      </c>
      <c r="E76" s="1">
        <v>1</v>
      </c>
      <c r="F76" s="1">
        <v>154</v>
      </c>
      <c r="G76" s="1">
        <v>40</v>
      </c>
      <c r="H76" s="1">
        <f t="shared" si="1"/>
        <v>16.8662506324844</v>
      </c>
      <c r="I76" s="1">
        <v>1</v>
      </c>
      <c r="J76" s="1">
        <v>0</v>
      </c>
      <c r="K76" s="1">
        <v>0</v>
      </c>
      <c r="L76" s="1">
        <v>1</v>
      </c>
      <c r="M76" s="1">
        <v>1</v>
      </c>
      <c r="N76" s="1">
        <v>1</v>
      </c>
      <c r="O76" s="1">
        <v>150</v>
      </c>
      <c r="P76" s="1">
        <v>260</v>
      </c>
      <c r="Q76" s="1">
        <v>1350</v>
      </c>
      <c r="R76" s="1">
        <v>200</v>
      </c>
      <c r="S76" s="1">
        <v>500</v>
      </c>
      <c r="T76" s="1">
        <v>300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1</v>
      </c>
      <c r="AA76" s="1">
        <v>0</v>
      </c>
      <c r="AB76" s="1">
        <v>1</v>
      </c>
      <c r="AC76" s="1">
        <v>1</v>
      </c>
      <c r="AD76" s="1">
        <v>0</v>
      </c>
      <c r="AE76" s="1">
        <v>1</v>
      </c>
      <c r="AF76" s="1">
        <v>2</v>
      </c>
      <c r="AG76" s="1">
        <v>10</v>
      </c>
      <c r="AH76" s="1">
        <v>4</v>
      </c>
      <c r="AI76" s="6">
        <v>0.297</v>
      </c>
      <c r="AJ76" s="7">
        <v>28.4</v>
      </c>
      <c r="AK76" s="7">
        <v>43</v>
      </c>
    </row>
    <row r="77" s="1" customFormat="1" spans="1:37">
      <c r="A77" s="1">
        <v>95</v>
      </c>
      <c r="B77" s="1">
        <v>2</v>
      </c>
      <c r="C77" s="1">
        <v>84</v>
      </c>
      <c r="D77" s="1">
        <v>3</v>
      </c>
      <c r="E77" s="1">
        <v>2</v>
      </c>
      <c r="F77" s="1">
        <v>158</v>
      </c>
      <c r="G77" s="1">
        <v>50</v>
      </c>
      <c r="H77" s="1">
        <f t="shared" si="1"/>
        <v>20.0288415318058</v>
      </c>
      <c r="I77" s="1">
        <v>1</v>
      </c>
      <c r="J77" s="1">
        <v>0</v>
      </c>
      <c r="K77" s="1">
        <v>1</v>
      </c>
      <c r="L77" s="1">
        <v>1</v>
      </c>
      <c r="M77" s="1">
        <v>2</v>
      </c>
      <c r="N77" s="1">
        <v>1</v>
      </c>
      <c r="O77" s="1">
        <v>75</v>
      </c>
      <c r="P77" s="1">
        <v>145</v>
      </c>
      <c r="Q77" s="1">
        <v>700</v>
      </c>
      <c r="R77" s="1">
        <v>100</v>
      </c>
      <c r="S77" s="1">
        <v>300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2</v>
      </c>
      <c r="AB77" s="1">
        <v>0</v>
      </c>
      <c r="AC77" s="1">
        <v>1</v>
      </c>
      <c r="AD77" s="1">
        <v>0</v>
      </c>
      <c r="AE77" s="1">
        <v>0</v>
      </c>
      <c r="AF77" s="1">
        <v>11</v>
      </c>
      <c r="AG77" s="1">
        <v>10</v>
      </c>
      <c r="AH77" s="1">
        <v>2</v>
      </c>
      <c r="AI77" s="6">
        <v>0.327</v>
      </c>
      <c r="AJ77" s="7">
        <v>35.2</v>
      </c>
      <c r="AK77" s="7">
        <v>57</v>
      </c>
    </row>
    <row r="78" s="1" customFormat="1" spans="1:37">
      <c r="A78" s="1">
        <v>96</v>
      </c>
      <c r="B78" s="1">
        <v>1</v>
      </c>
      <c r="C78" s="1">
        <v>78</v>
      </c>
      <c r="D78" s="1">
        <v>2</v>
      </c>
      <c r="E78" s="1">
        <v>2</v>
      </c>
      <c r="F78" s="1">
        <v>172</v>
      </c>
      <c r="G78" s="1">
        <v>76</v>
      </c>
      <c r="H78" s="1">
        <f t="shared" si="1"/>
        <v>25.6895619253651</v>
      </c>
      <c r="I78" s="1">
        <v>1</v>
      </c>
      <c r="J78" s="1">
        <v>1</v>
      </c>
      <c r="K78" s="1">
        <v>0</v>
      </c>
      <c r="L78" s="1">
        <v>0</v>
      </c>
      <c r="M78" s="1">
        <v>1</v>
      </c>
      <c r="N78" s="1">
        <v>1</v>
      </c>
      <c r="O78" s="1">
        <v>100</v>
      </c>
      <c r="P78" s="1">
        <v>167</v>
      </c>
      <c r="Q78" s="1">
        <v>1400</v>
      </c>
      <c r="R78" s="1">
        <v>100</v>
      </c>
      <c r="S78" s="1">
        <v>100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2</v>
      </c>
      <c r="AB78" s="1">
        <v>0</v>
      </c>
      <c r="AC78" s="1">
        <v>0</v>
      </c>
      <c r="AD78" s="1">
        <v>0</v>
      </c>
      <c r="AE78" s="1">
        <v>0</v>
      </c>
      <c r="AF78" s="1">
        <v>7</v>
      </c>
      <c r="AG78" s="1">
        <v>6</v>
      </c>
      <c r="AH78" s="1">
        <v>1</v>
      </c>
      <c r="AI78" s="6">
        <v>0.392</v>
      </c>
      <c r="AJ78" s="7">
        <v>41.1</v>
      </c>
      <c r="AK78" s="7">
        <v>87</v>
      </c>
    </row>
    <row r="79" s="1" customFormat="1" spans="1:37">
      <c r="A79" s="1">
        <v>98</v>
      </c>
      <c r="B79" s="1">
        <v>2</v>
      </c>
      <c r="C79" s="1">
        <v>66</v>
      </c>
      <c r="D79" s="1">
        <v>2</v>
      </c>
      <c r="E79" s="1">
        <v>1</v>
      </c>
      <c r="F79" s="1">
        <v>165</v>
      </c>
      <c r="G79" s="1">
        <v>65</v>
      </c>
      <c r="H79" s="1">
        <f t="shared" si="1"/>
        <v>23.8751147842057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130</v>
      </c>
      <c r="P79" s="1">
        <v>190</v>
      </c>
      <c r="Q79" s="1">
        <v>1500</v>
      </c>
      <c r="R79" s="1">
        <v>100</v>
      </c>
      <c r="S79" s="1">
        <v>100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2</v>
      </c>
      <c r="AG79" s="1">
        <v>16</v>
      </c>
      <c r="AH79" s="1">
        <v>1</v>
      </c>
      <c r="AI79" s="9">
        <v>0.341</v>
      </c>
      <c r="AJ79" s="7">
        <v>34</v>
      </c>
      <c r="AK79" s="7">
        <v>50</v>
      </c>
    </row>
    <row r="80" s="1" customFormat="1" spans="1:37">
      <c r="A80" s="1">
        <v>99</v>
      </c>
      <c r="B80" s="1">
        <v>2</v>
      </c>
      <c r="C80" s="1">
        <v>74</v>
      </c>
      <c r="D80" s="1">
        <v>2</v>
      </c>
      <c r="E80" s="1">
        <v>2</v>
      </c>
      <c r="F80" s="1">
        <v>160</v>
      </c>
      <c r="G80" s="1">
        <v>60</v>
      </c>
      <c r="H80" s="1">
        <f t="shared" si="1"/>
        <v>23.4375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90</v>
      </c>
      <c r="P80" s="1">
        <v>164</v>
      </c>
      <c r="Q80" s="1">
        <v>1400</v>
      </c>
      <c r="R80" s="1">
        <v>100</v>
      </c>
      <c r="S80" s="1">
        <v>100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2</v>
      </c>
      <c r="AB80" s="1">
        <v>0</v>
      </c>
      <c r="AC80" s="1">
        <v>0</v>
      </c>
      <c r="AD80" s="1">
        <v>0</v>
      </c>
      <c r="AE80" s="1">
        <v>0</v>
      </c>
      <c r="AF80" s="1">
        <v>5</v>
      </c>
      <c r="AG80" s="1">
        <v>8</v>
      </c>
      <c r="AH80" s="1">
        <v>1</v>
      </c>
      <c r="AI80" s="6">
        <v>0.368</v>
      </c>
      <c r="AJ80" s="7">
        <v>40.3</v>
      </c>
      <c r="AK80" s="7">
        <v>56</v>
      </c>
    </row>
    <row r="81" s="1" customFormat="1" spans="1:37">
      <c r="A81" s="1">
        <v>102</v>
      </c>
      <c r="B81" s="1">
        <v>2</v>
      </c>
      <c r="C81" s="1">
        <v>83</v>
      </c>
      <c r="D81" s="1">
        <v>2</v>
      </c>
      <c r="E81" s="1">
        <v>2</v>
      </c>
      <c r="F81" s="1">
        <v>150</v>
      </c>
      <c r="G81" s="1">
        <v>40</v>
      </c>
      <c r="H81" s="1">
        <f t="shared" si="1"/>
        <v>17.7777777777778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  <c r="N81" s="1">
        <v>3</v>
      </c>
      <c r="O81" s="1">
        <v>60</v>
      </c>
      <c r="P81" s="1">
        <v>125</v>
      </c>
      <c r="Q81" s="1">
        <v>700</v>
      </c>
      <c r="R81" s="1">
        <v>100</v>
      </c>
      <c r="S81" s="1">
        <v>100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5</v>
      </c>
      <c r="AG81" s="1">
        <v>14</v>
      </c>
      <c r="AH81" s="1">
        <v>4</v>
      </c>
      <c r="AI81" s="6">
        <v>0.2735</v>
      </c>
      <c r="AJ81" s="7">
        <v>31</v>
      </c>
      <c r="AK81" s="7">
        <v>35</v>
      </c>
    </row>
    <row r="82" s="1" customFormat="1" spans="1:37">
      <c r="A82" s="1">
        <v>103</v>
      </c>
      <c r="B82" s="1">
        <v>1</v>
      </c>
      <c r="C82" s="1">
        <v>86</v>
      </c>
      <c r="D82" s="1">
        <v>3</v>
      </c>
      <c r="E82" s="1">
        <v>2</v>
      </c>
      <c r="F82" s="1">
        <v>167</v>
      </c>
      <c r="G82" s="1">
        <v>50</v>
      </c>
      <c r="H82" s="1">
        <f t="shared" si="1"/>
        <v>17.9282154254366</v>
      </c>
      <c r="I82" s="1">
        <v>0</v>
      </c>
      <c r="J82" s="1">
        <v>0</v>
      </c>
      <c r="K82" s="1">
        <v>0</v>
      </c>
      <c r="L82" s="1">
        <v>1</v>
      </c>
      <c r="M82" s="1">
        <v>4</v>
      </c>
      <c r="N82" s="1">
        <v>5</v>
      </c>
      <c r="O82" s="1">
        <v>100</v>
      </c>
      <c r="P82" s="1">
        <v>183</v>
      </c>
      <c r="Q82" s="1">
        <v>900</v>
      </c>
      <c r="R82" s="1">
        <v>100</v>
      </c>
      <c r="S82" s="1">
        <v>100</v>
      </c>
      <c r="T82" s="1">
        <v>400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4</v>
      </c>
      <c r="AG82" s="1">
        <v>14</v>
      </c>
      <c r="AH82" s="1">
        <v>4</v>
      </c>
      <c r="AI82" s="6">
        <v>0.2974</v>
      </c>
      <c r="AJ82" s="7">
        <v>32.7</v>
      </c>
      <c r="AK82" s="7">
        <v>94</v>
      </c>
    </row>
    <row r="83" s="1" customFormat="1" spans="1:37">
      <c r="A83" s="1">
        <v>104</v>
      </c>
      <c r="B83" s="1">
        <v>2</v>
      </c>
      <c r="C83" s="1">
        <v>94</v>
      </c>
      <c r="D83" s="1">
        <v>4</v>
      </c>
      <c r="E83" s="1">
        <v>2</v>
      </c>
      <c r="F83" s="1">
        <v>150</v>
      </c>
      <c r="G83" s="1">
        <v>40</v>
      </c>
      <c r="H83" s="1">
        <f t="shared" si="1"/>
        <v>17.7777777777778</v>
      </c>
      <c r="I83" s="1">
        <v>0</v>
      </c>
      <c r="J83" s="1">
        <v>0</v>
      </c>
      <c r="K83" s="1">
        <v>1</v>
      </c>
      <c r="L83" s="1">
        <v>0</v>
      </c>
      <c r="M83" s="1">
        <v>2</v>
      </c>
      <c r="N83" s="1">
        <v>3</v>
      </c>
      <c r="O83" s="1">
        <v>60</v>
      </c>
      <c r="P83" s="1">
        <v>192</v>
      </c>
      <c r="Q83" s="1">
        <v>500</v>
      </c>
      <c r="R83" s="1">
        <v>100</v>
      </c>
      <c r="S83" s="1">
        <v>100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7</v>
      </c>
      <c r="AG83" s="1">
        <v>8</v>
      </c>
      <c r="AH83" s="1">
        <v>4</v>
      </c>
      <c r="AI83" s="6">
        <v>0.2055</v>
      </c>
      <c r="AJ83" s="7">
        <v>29.1</v>
      </c>
      <c r="AK83" s="7">
        <v>91</v>
      </c>
    </row>
    <row r="84" s="1" customFormat="1" spans="1:37">
      <c r="A84" s="1">
        <v>105</v>
      </c>
      <c r="B84" s="1">
        <v>2</v>
      </c>
      <c r="C84" s="1">
        <v>65</v>
      </c>
      <c r="D84" s="1">
        <v>2</v>
      </c>
      <c r="E84" s="1">
        <v>2</v>
      </c>
      <c r="F84" s="1">
        <v>156</v>
      </c>
      <c r="G84" s="1">
        <v>55</v>
      </c>
      <c r="H84" s="1">
        <f t="shared" si="1"/>
        <v>22.6002629848784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2</v>
      </c>
      <c r="O84" s="1">
        <v>90</v>
      </c>
      <c r="P84" s="1">
        <v>170</v>
      </c>
      <c r="Q84" s="1">
        <v>1000</v>
      </c>
      <c r="R84" s="1">
        <v>100</v>
      </c>
      <c r="S84" s="1">
        <v>100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</v>
      </c>
      <c r="AG84" s="1">
        <v>7</v>
      </c>
      <c r="AH84" s="1">
        <v>0</v>
      </c>
      <c r="AI84" s="6">
        <v>0.3544</v>
      </c>
      <c r="AJ84" s="7">
        <v>42.6</v>
      </c>
      <c r="AK84" s="7">
        <v>57</v>
      </c>
    </row>
    <row r="85" s="1" customFormat="1" spans="1:37">
      <c r="A85" s="1">
        <v>106</v>
      </c>
      <c r="B85" s="1">
        <v>2</v>
      </c>
      <c r="C85" s="1">
        <v>84</v>
      </c>
      <c r="D85" s="1">
        <v>3</v>
      </c>
      <c r="E85" s="1">
        <v>2</v>
      </c>
      <c r="F85" s="1">
        <v>158</v>
      </c>
      <c r="G85" s="1">
        <v>51</v>
      </c>
      <c r="H85" s="1">
        <f t="shared" si="1"/>
        <v>20.4294183624419</v>
      </c>
      <c r="I85" s="1">
        <v>1</v>
      </c>
      <c r="J85" s="1">
        <v>0</v>
      </c>
      <c r="K85" s="1">
        <v>1</v>
      </c>
      <c r="L85" s="1">
        <v>1</v>
      </c>
      <c r="M85" s="1">
        <v>2</v>
      </c>
      <c r="N85" s="1">
        <v>3</v>
      </c>
      <c r="O85" s="1">
        <v>60</v>
      </c>
      <c r="P85" s="1">
        <v>152</v>
      </c>
      <c r="Q85" s="1">
        <v>1100</v>
      </c>
      <c r="R85" s="1">
        <v>100</v>
      </c>
      <c r="S85" s="1">
        <v>100</v>
      </c>
      <c r="T85" s="1">
        <v>0</v>
      </c>
      <c r="U85" s="1">
        <v>0</v>
      </c>
      <c r="V85" s="1">
        <v>200</v>
      </c>
      <c r="W85" s="1">
        <v>0</v>
      </c>
      <c r="X85" s="1">
        <v>0</v>
      </c>
      <c r="Y85" s="1">
        <v>0</v>
      </c>
      <c r="Z85" s="1">
        <v>1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5</v>
      </c>
      <c r="AG85" s="1">
        <v>14</v>
      </c>
      <c r="AH85" s="1">
        <v>2</v>
      </c>
      <c r="AI85" s="6">
        <v>0.2834</v>
      </c>
      <c r="AJ85" s="7">
        <v>36</v>
      </c>
      <c r="AK85" s="7">
        <v>67</v>
      </c>
    </row>
    <row r="86" s="1" customFormat="1" spans="1:37">
      <c r="A86" s="1">
        <v>107</v>
      </c>
      <c r="B86" s="1">
        <v>2</v>
      </c>
      <c r="C86" s="1">
        <v>81</v>
      </c>
      <c r="D86" s="1">
        <v>2</v>
      </c>
      <c r="E86" s="1">
        <v>2</v>
      </c>
      <c r="F86" s="1">
        <v>160</v>
      </c>
      <c r="G86" s="1">
        <v>60</v>
      </c>
      <c r="H86" s="1">
        <f t="shared" si="1"/>
        <v>23.4375</v>
      </c>
      <c r="I86" s="1">
        <v>1</v>
      </c>
      <c r="J86" s="1">
        <v>1</v>
      </c>
      <c r="K86" s="1">
        <v>0</v>
      </c>
      <c r="L86" s="1">
        <v>0</v>
      </c>
      <c r="M86" s="1">
        <v>1</v>
      </c>
      <c r="N86" s="1">
        <v>3</v>
      </c>
      <c r="O86" s="1">
        <v>70</v>
      </c>
      <c r="P86" s="1">
        <v>145</v>
      </c>
      <c r="Q86" s="1">
        <v>900</v>
      </c>
      <c r="R86" s="1">
        <v>100</v>
      </c>
      <c r="S86" s="1">
        <v>100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12</v>
      </c>
      <c r="AG86" s="1">
        <v>7</v>
      </c>
      <c r="AH86" s="1">
        <v>2</v>
      </c>
      <c r="AI86" s="6">
        <v>0.305</v>
      </c>
      <c r="AJ86" s="7">
        <v>36.2</v>
      </c>
      <c r="AK86" s="7">
        <v>81</v>
      </c>
    </row>
    <row r="87" s="1" customFormat="1" spans="1:37">
      <c r="A87" s="1">
        <v>108</v>
      </c>
      <c r="B87" s="1">
        <v>1</v>
      </c>
      <c r="C87" s="1">
        <v>76</v>
      </c>
      <c r="D87" s="1">
        <v>2</v>
      </c>
      <c r="E87" s="1">
        <v>2</v>
      </c>
      <c r="F87" s="1">
        <v>178</v>
      </c>
      <c r="G87" s="1">
        <v>60</v>
      </c>
      <c r="H87" s="1">
        <f t="shared" si="1"/>
        <v>18.9370029036738</v>
      </c>
      <c r="I87" s="1">
        <v>1</v>
      </c>
      <c r="J87" s="1">
        <v>0</v>
      </c>
      <c r="K87" s="1">
        <v>0</v>
      </c>
      <c r="L87" s="1">
        <v>1</v>
      </c>
      <c r="M87" s="1">
        <v>2</v>
      </c>
      <c r="N87" s="1">
        <v>3</v>
      </c>
      <c r="O87" s="1">
        <v>60</v>
      </c>
      <c r="P87" s="1">
        <v>149</v>
      </c>
      <c r="Q87" s="1">
        <v>500</v>
      </c>
      <c r="R87" s="1">
        <v>100</v>
      </c>
      <c r="S87" s="1">
        <v>100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</v>
      </c>
      <c r="AF87" s="1">
        <v>2</v>
      </c>
      <c r="AG87" s="1">
        <v>11</v>
      </c>
      <c r="AH87" s="1">
        <v>2</v>
      </c>
      <c r="AI87" s="6">
        <v>0.288</v>
      </c>
      <c r="AJ87" s="7">
        <v>36.4</v>
      </c>
      <c r="AK87" s="7">
        <v>61</v>
      </c>
    </row>
    <row r="88" s="1" customFormat="1" spans="1:37">
      <c r="A88" s="1">
        <v>109</v>
      </c>
      <c r="B88" s="1">
        <v>1</v>
      </c>
      <c r="C88" s="1">
        <v>82</v>
      </c>
      <c r="D88" s="1">
        <v>3</v>
      </c>
      <c r="E88" s="1">
        <v>2</v>
      </c>
      <c r="F88" s="1">
        <v>170</v>
      </c>
      <c r="G88" s="1">
        <v>50</v>
      </c>
      <c r="H88" s="1">
        <f t="shared" si="1"/>
        <v>17.3010380622837</v>
      </c>
      <c r="I88" s="1">
        <v>0</v>
      </c>
      <c r="J88" s="1">
        <v>0</v>
      </c>
      <c r="K88" s="1">
        <v>1</v>
      </c>
      <c r="L88" s="1">
        <v>0</v>
      </c>
      <c r="M88" s="1">
        <v>2</v>
      </c>
      <c r="N88" s="1">
        <v>3</v>
      </c>
      <c r="O88" s="1">
        <v>90</v>
      </c>
      <c r="P88" s="1">
        <v>201</v>
      </c>
      <c r="Q88" s="1">
        <v>800</v>
      </c>
      <c r="R88" s="1">
        <v>100</v>
      </c>
      <c r="S88" s="1">
        <v>100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5</v>
      </c>
      <c r="AG88" s="1">
        <v>11</v>
      </c>
      <c r="AH88" s="1">
        <v>2</v>
      </c>
      <c r="AI88" s="6">
        <v>0.3614</v>
      </c>
      <c r="AJ88" s="7">
        <v>38.1</v>
      </c>
      <c r="AK88" s="7">
        <v>84</v>
      </c>
    </row>
    <row r="89" s="1" customFormat="1" spans="1:37">
      <c r="A89" s="1">
        <v>110</v>
      </c>
      <c r="B89" s="1">
        <v>2</v>
      </c>
      <c r="C89" s="1">
        <v>79</v>
      </c>
      <c r="D89" s="1">
        <v>2</v>
      </c>
      <c r="E89" s="1">
        <v>2</v>
      </c>
      <c r="F89" s="1">
        <v>154</v>
      </c>
      <c r="G89" s="1">
        <v>58</v>
      </c>
      <c r="H89" s="1">
        <f t="shared" si="1"/>
        <v>24.4560634171024</v>
      </c>
      <c r="I89" s="1">
        <v>1</v>
      </c>
      <c r="J89" s="1">
        <v>0</v>
      </c>
      <c r="K89" s="1">
        <v>0</v>
      </c>
      <c r="L89" s="1">
        <v>0</v>
      </c>
      <c r="M89" s="1">
        <v>2</v>
      </c>
      <c r="N89" s="1">
        <v>3</v>
      </c>
      <c r="O89" s="1">
        <v>150</v>
      </c>
      <c r="P89" s="1">
        <v>193</v>
      </c>
      <c r="Q89" s="1">
        <v>700</v>
      </c>
      <c r="R89" s="1">
        <v>100</v>
      </c>
      <c r="S89" s="1">
        <v>100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4</v>
      </c>
      <c r="AG89" s="1">
        <v>14</v>
      </c>
      <c r="AH89" s="1">
        <v>2</v>
      </c>
      <c r="AI89" s="6">
        <v>0.3094</v>
      </c>
      <c r="AJ89" s="7">
        <v>39.4</v>
      </c>
      <c r="AK89" s="7">
        <v>56</v>
      </c>
    </row>
    <row r="90" s="1" customFormat="1" spans="1:37">
      <c r="A90" s="1">
        <v>112</v>
      </c>
      <c r="B90" s="1">
        <v>2</v>
      </c>
      <c r="C90" s="1">
        <v>69</v>
      </c>
      <c r="D90" s="1">
        <v>2</v>
      </c>
      <c r="E90" s="1">
        <v>2</v>
      </c>
      <c r="F90" s="1">
        <v>150</v>
      </c>
      <c r="G90" s="1">
        <v>45</v>
      </c>
      <c r="H90" s="1">
        <f t="shared" si="1"/>
        <v>20</v>
      </c>
      <c r="I90" s="1">
        <v>0</v>
      </c>
      <c r="J90" s="1">
        <v>0</v>
      </c>
      <c r="K90" s="1">
        <v>1</v>
      </c>
      <c r="L90" s="1">
        <v>0</v>
      </c>
      <c r="M90" s="1">
        <v>2</v>
      </c>
      <c r="N90" s="1">
        <v>3</v>
      </c>
      <c r="O90" s="1">
        <v>135</v>
      </c>
      <c r="P90" s="1">
        <v>270</v>
      </c>
      <c r="Q90" s="1">
        <v>2600</v>
      </c>
      <c r="R90" s="1">
        <v>100</v>
      </c>
      <c r="S90" s="1">
        <v>100</v>
      </c>
      <c r="T90" s="1">
        <v>400</v>
      </c>
      <c r="U90" s="1">
        <v>0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7</v>
      </c>
      <c r="AG90" s="1">
        <v>8</v>
      </c>
      <c r="AH90" s="1">
        <v>1</v>
      </c>
      <c r="AI90" s="6">
        <v>0.3188</v>
      </c>
      <c r="AJ90" s="7">
        <v>38.6</v>
      </c>
      <c r="AK90" s="7">
        <v>56</v>
      </c>
    </row>
    <row r="91" s="1" customFormat="1" spans="1:37">
      <c r="A91" s="1">
        <v>113</v>
      </c>
      <c r="B91" s="1">
        <v>1</v>
      </c>
      <c r="C91" s="1">
        <v>88</v>
      </c>
      <c r="D91" s="1">
        <v>3</v>
      </c>
      <c r="E91" s="1">
        <v>2</v>
      </c>
      <c r="F91" s="1">
        <v>180</v>
      </c>
      <c r="G91" s="1">
        <v>75</v>
      </c>
      <c r="H91" s="1">
        <f t="shared" si="1"/>
        <v>23.1481481481481</v>
      </c>
      <c r="I91" s="1">
        <v>0</v>
      </c>
      <c r="J91" s="1">
        <v>0</v>
      </c>
      <c r="K91" s="1">
        <v>1</v>
      </c>
      <c r="L91" s="1">
        <v>0</v>
      </c>
      <c r="M91" s="1">
        <v>2</v>
      </c>
      <c r="N91" s="1">
        <v>3</v>
      </c>
      <c r="O91" s="1">
        <v>70</v>
      </c>
      <c r="P91" s="1">
        <v>211</v>
      </c>
      <c r="Q91" s="1">
        <v>1000</v>
      </c>
      <c r="R91" s="1">
        <v>100</v>
      </c>
      <c r="S91" s="1">
        <v>100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5</v>
      </c>
      <c r="AG91" s="1">
        <v>7</v>
      </c>
      <c r="AH91" s="1">
        <v>3</v>
      </c>
      <c r="AI91" s="6">
        <v>0.276</v>
      </c>
      <c r="AJ91" s="7">
        <v>29.3</v>
      </c>
      <c r="AK91" s="7">
        <v>73</v>
      </c>
    </row>
    <row r="92" s="1" customFormat="1" spans="1:37">
      <c r="A92" s="1">
        <v>115</v>
      </c>
      <c r="B92" s="1">
        <v>2</v>
      </c>
      <c r="C92" s="1">
        <v>81</v>
      </c>
      <c r="D92" s="1">
        <v>2</v>
      </c>
      <c r="E92" s="1">
        <v>2</v>
      </c>
      <c r="F92" s="1">
        <v>150</v>
      </c>
      <c r="G92" s="1">
        <v>55</v>
      </c>
      <c r="H92" s="1">
        <f t="shared" si="1"/>
        <v>24.4444444444444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  <c r="N92" s="1">
        <v>3</v>
      </c>
      <c r="O92" s="1">
        <v>60</v>
      </c>
      <c r="P92" s="1">
        <v>80</v>
      </c>
      <c r="Q92" s="1">
        <v>800</v>
      </c>
      <c r="R92" s="1">
        <v>100</v>
      </c>
      <c r="S92" s="1">
        <v>100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3</v>
      </c>
      <c r="AG92" s="1">
        <v>14</v>
      </c>
      <c r="AH92" s="1">
        <v>1</v>
      </c>
      <c r="AI92" s="6">
        <v>0.3681</v>
      </c>
      <c r="AJ92" s="7">
        <v>37.7</v>
      </c>
      <c r="AK92" s="7">
        <v>53</v>
      </c>
    </row>
    <row r="93" s="1" customFormat="1" spans="1:37">
      <c r="A93" s="1">
        <v>116</v>
      </c>
      <c r="B93" s="1">
        <v>2</v>
      </c>
      <c r="C93" s="1">
        <v>88</v>
      </c>
      <c r="D93" s="1">
        <v>2</v>
      </c>
      <c r="E93" s="1">
        <v>2</v>
      </c>
      <c r="F93" s="1">
        <v>157</v>
      </c>
      <c r="G93" s="1">
        <v>45</v>
      </c>
      <c r="H93" s="1">
        <f t="shared" si="1"/>
        <v>18.2563187147552</v>
      </c>
      <c r="I93" s="1">
        <v>0</v>
      </c>
      <c r="J93" s="1">
        <v>0</v>
      </c>
      <c r="K93" s="1">
        <v>0</v>
      </c>
      <c r="L93" s="1">
        <v>0</v>
      </c>
      <c r="M93" s="1">
        <v>2</v>
      </c>
      <c r="N93" s="1">
        <v>3</v>
      </c>
      <c r="O93" s="1">
        <v>100</v>
      </c>
      <c r="P93" s="1">
        <v>160</v>
      </c>
      <c r="Q93" s="1">
        <v>750</v>
      </c>
      <c r="R93" s="1">
        <v>100</v>
      </c>
      <c r="S93" s="1">
        <v>100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3</v>
      </c>
      <c r="AG93" s="1">
        <v>15</v>
      </c>
      <c r="AH93" s="1">
        <v>4</v>
      </c>
      <c r="AI93" s="6">
        <v>0.2898</v>
      </c>
      <c r="AJ93" s="7">
        <v>32.7</v>
      </c>
      <c r="AK93" s="7">
        <v>97</v>
      </c>
    </row>
    <row r="94" s="1" customFormat="1" spans="1:37">
      <c r="A94" s="1">
        <v>117</v>
      </c>
      <c r="B94" s="1">
        <v>1</v>
      </c>
      <c r="C94" s="1">
        <v>67</v>
      </c>
      <c r="D94" s="1">
        <v>2</v>
      </c>
      <c r="E94" s="1">
        <v>2</v>
      </c>
      <c r="F94" s="1">
        <v>170</v>
      </c>
      <c r="G94" s="1">
        <v>70</v>
      </c>
      <c r="H94" s="1">
        <f t="shared" si="1"/>
        <v>24.2214532871972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2</v>
      </c>
      <c r="O94" s="1">
        <v>60</v>
      </c>
      <c r="P94" s="1">
        <v>130</v>
      </c>
      <c r="Q94" s="1">
        <v>1000</v>
      </c>
      <c r="R94" s="1">
        <v>100</v>
      </c>
      <c r="S94" s="1">
        <v>100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2</v>
      </c>
      <c r="AB94" s="1">
        <v>0</v>
      </c>
      <c r="AC94" s="1">
        <v>0</v>
      </c>
      <c r="AD94" s="1">
        <v>0</v>
      </c>
      <c r="AE94" s="1">
        <v>0</v>
      </c>
      <c r="AF94" s="1">
        <v>2</v>
      </c>
      <c r="AG94" s="1">
        <v>5</v>
      </c>
      <c r="AH94" s="1">
        <v>0</v>
      </c>
      <c r="AI94" s="9">
        <v>0.438</v>
      </c>
      <c r="AJ94" s="7">
        <v>41.4</v>
      </c>
      <c r="AK94" s="7">
        <v>79</v>
      </c>
    </row>
    <row r="95" s="1" customFormat="1" spans="1:37">
      <c r="A95" s="1">
        <v>118</v>
      </c>
      <c r="B95" s="1">
        <v>2</v>
      </c>
      <c r="C95" s="1">
        <v>83</v>
      </c>
      <c r="D95" s="1">
        <v>3</v>
      </c>
      <c r="E95" s="1">
        <v>2</v>
      </c>
      <c r="F95" s="1">
        <v>158</v>
      </c>
      <c r="G95" s="1">
        <v>60</v>
      </c>
      <c r="H95" s="1">
        <f t="shared" si="1"/>
        <v>24.034609838167</v>
      </c>
      <c r="I95" s="1">
        <v>1</v>
      </c>
      <c r="J95" s="1">
        <v>0</v>
      </c>
      <c r="K95" s="1">
        <v>1</v>
      </c>
      <c r="L95" s="1">
        <v>0</v>
      </c>
      <c r="M95" s="1">
        <v>3</v>
      </c>
      <c r="N95" s="1">
        <v>3</v>
      </c>
      <c r="O95" s="1">
        <v>130</v>
      </c>
      <c r="P95" s="1">
        <v>227</v>
      </c>
      <c r="Q95" s="1">
        <v>1300</v>
      </c>
      <c r="R95" s="1">
        <v>100</v>
      </c>
      <c r="S95" s="1">
        <v>100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2</v>
      </c>
      <c r="AG95" s="1">
        <v>13</v>
      </c>
      <c r="AH95" s="1">
        <v>2</v>
      </c>
      <c r="AI95" s="6">
        <v>0.3283</v>
      </c>
      <c r="AJ95" s="7">
        <v>38.7</v>
      </c>
      <c r="AK95" s="7">
        <v>51</v>
      </c>
    </row>
    <row r="96" s="1" customFormat="1" spans="1:37">
      <c r="A96" s="1">
        <v>119</v>
      </c>
      <c r="B96" s="1">
        <v>2</v>
      </c>
      <c r="C96" s="1">
        <v>70</v>
      </c>
      <c r="D96" s="1">
        <v>2</v>
      </c>
      <c r="E96" s="1">
        <v>2</v>
      </c>
      <c r="F96" s="1">
        <v>156</v>
      </c>
      <c r="G96" s="1">
        <v>50</v>
      </c>
      <c r="H96" s="1">
        <f t="shared" si="1"/>
        <v>20.5456936226167</v>
      </c>
      <c r="I96" s="1">
        <v>0</v>
      </c>
      <c r="J96" s="1">
        <v>0</v>
      </c>
      <c r="K96" s="1">
        <v>0</v>
      </c>
      <c r="L96" s="1">
        <v>0</v>
      </c>
      <c r="M96" s="1">
        <v>2</v>
      </c>
      <c r="N96" s="1">
        <v>3</v>
      </c>
      <c r="O96" s="1">
        <v>120</v>
      </c>
      <c r="P96" s="1">
        <v>214</v>
      </c>
      <c r="Q96" s="1">
        <v>1000</v>
      </c>
      <c r="R96" s="1">
        <v>100</v>
      </c>
      <c r="S96" s="1">
        <v>100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>
        <v>3</v>
      </c>
      <c r="AG96" s="1">
        <v>6</v>
      </c>
      <c r="AH96" s="1">
        <v>1</v>
      </c>
      <c r="AI96" s="6">
        <v>0.272</v>
      </c>
      <c r="AJ96" s="7">
        <v>36.2</v>
      </c>
      <c r="AK96" s="7">
        <v>56</v>
      </c>
    </row>
    <row r="97" s="1" customFormat="1" spans="1:37">
      <c r="A97" s="1">
        <v>122</v>
      </c>
      <c r="B97" s="1">
        <v>2</v>
      </c>
      <c r="C97" s="1">
        <v>76</v>
      </c>
      <c r="D97" s="1">
        <v>2</v>
      </c>
      <c r="E97" s="1">
        <v>2</v>
      </c>
      <c r="F97" s="1">
        <v>158</v>
      </c>
      <c r="G97" s="1">
        <v>71</v>
      </c>
      <c r="H97" s="1">
        <f t="shared" si="1"/>
        <v>28.4409549751642</v>
      </c>
      <c r="I97" s="1">
        <v>1</v>
      </c>
      <c r="J97" s="1">
        <v>1</v>
      </c>
      <c r="K97" s="1">
        <v>1</v>
      </c>
      <c r="L97" s="1">
        <v>0</v>
      </c>
      <c r="M97" s="1">
        <v>2</v>
      </c>
      <c r="N97" s="1">
        <v>3</v>
      </c>
      <c r="O97" s="1">
        <v>60</v>
      </c>
      <c r="P97" s="1">
        <v>133</v>
      </c>
      <c r="Q97" s="1">
        <v>600</v>
      </c>
      <c r="R97" s="1">
        <v>100</v>
      </c>
      <c r="S97" s="1">
        <v>100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2</v>
      </c>
      <c r="AB97" s="1">
        <v>0</v>
      </c>
      <c r="AC97" s="1">
        <v>0</v>
      </c>
      <c r="AD97" s="1">
        <v>0</v>
      </c>
      <c r="AE97" s="1">
        <v>0</v>
      </c>
      <c r="AF97" s="1">
        <v>4</v>
      </c>
      <c r="AG97" s="1">
        <v>14</v>
      </c>
      <c r="AH97" s="1">
        <v>2</v>
      </c>
      <c r="AI97" s="6">
        <v>0.3414</v>
      </c>
      <c r="AJ97" s="7">
        <v>39.6</v>
      </c>
      <c r="AK97" s="7">
        <v>50</v>
      </c>
    </row>
    <row r="98" s="1" customFormat="1" spans="1:37">
      <c r="A98" s="1">
        <v>123</v>
      </c>
      <c r="B98" s="1">
        <v>2</v>
      </c>
      <c r="C98" s="1">
        <v>81</v>
      </c>
      <c r="D98" s="1">
        <v>3</v>
      </c>
      <c r="E98" s="1">
        <v>2</v>
      </c>
      <c r="F98" s="1">
        <v>162</v>
      </c>
      <c r="G98" s="1">
        <v>50</v>
      </c>
      <c r="H98" s="1">
        <f t="shared" si="1"/>
        <v>19.0519737844841</v>
      </c>
      <c r="I98" s="1">
        <v>1</v>
      </c>
      <c r="J98" s="1">
        <v>1</v>
      </c>
      <c r="K98" s="1">
        <v>0</v>
      </c>
      <c r="L98" s="1">
        <v>0</v>
      </c>
      <c r="M98" s="1">
        <v>2</v>
      </c>
      <c r="N98" s="1">
        <v>3</v>
      </c>
      <c r="O98" s="1">
        <v>50</v>
      </c>
      <c r="P98" s="1">
        <v>128</v>
      </c>
      <c r="Q98" s="1">
        <v>900</v>
      </c>
      <c r="R98" s="1">
        <v>100</v>
      </c>
      <c r="S98" s="1">
        <v>100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4</v>
      </c>
      <c r="AG98" s="1">
        <v>4</v>
      </c>
      <c r="AH98" s="1">
        <v>2</v>
      </c>
      <c r="AI98" s="6">
        <v>0.288</v>
      </c>
      <c r="AJ98" s="7">
        <v>34.7</v>
      </c>
      <c r="AK98" s="7">
        <v>166</v>
      </c>
    </row>
    <row r="99" s="1" customFormat="1" spans="1:37">
      <c r="A99" s="1">
        <v>124</v>
      </c>
      <c r="B99" s="1">
        <v>2</v>
      </c>
      <c r="C99" s="1">
        <v>84</v>
      </c>
      <c r="D99" s="1">
        <v>2</v>
      </c>
      <c r="E99" s="1">
        <v>2</v>
      </c>
      <c r="F99" s="1">
        <v>156</v>
      </c>
      <c r="G99" s="1">
        <v>45</v>
      </c>
      <c r="H99" s="1">
        <f t="shared" si="1"/>
        <v>18.491124260355</v>
      </c>
      <c r="I99" s="1">
        <v>0</v>
      </c>
      <c r="J99" s="1">
        <v>0</v>
      </c>
      <c r="K99" s="1">
        <v>0</v>
      </c>
      <c r="L99" s="1">
        <v>0</v>
      </c>
      <c r="M99" s="1">
        <v>2</v>
      </c>
      <c r="N99" s="1">
        <v>3</v>
      </c>
      <c r="O99" s="1">
        <v>60</v>
      </c>
      <c r="P99" s="1">
        <v>245</v>
      </c>
      <c r="Q99" s="1">
        <v>800</v>
      </c>
      <c r="R99" s="1">
        <v>100</v>
      </c>
      <c r="S99" s="1">
        <v>100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4</v>
      </c>
      <c r="AG99" s="1">
        <v>14</v>
      </c>
      <c r="AH99" s="1">
        <v>3</v>
      </c>
      <c r="AI99" s="6">
        <v>0.2239</v>
      </c>
      <c r="AJ99" s="7">
        <v>36.1</v>
      </c>
      <c r="AK99" s="7">
        <v>81</v>
      </c>
    </row>
    <row r="100" s="1" customFormat="1" spans="1:37">
      <c r="A100" s="1">
        <v>125</v>
      </c>
      <c r="B100" s="1">
        <v>1</v>
      </c>
      <c r="C100" s="1">
        <v>88</v>
      </c>
      <c r="D100" s="1">
        <v>3</v>
      </c>
      <c r="E100" s="1">
        <v>2</v>
      </c>
      <c r="F100" s="1">
        <v>163</v>
      </c>
      <c r="G100" s="1">
        <v>65</v>
      </c>
      <c r="H100" s="1">
        <f t="shared" si="1"/>
        <v>24.4646016033724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1</v>
      </c>
      <c r="O100" s="1">
        <v>70</v>
      </c>
      <c r="P100" s="1">
        <v>202</v>
      </c>
      <c r="Q100" s="1">
        <v>900</v>
      </c>
      <c r="R100" s="1">
        <v>100</v>
      </c>
      <c r="S100" s="1">
        <v>100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0</v>
      </c>
      <c r="AC100" s="1">
        <v>1</v>
      </c>
      <c r="AD100" s="1">
        <v>0</v>
      </c>
      <c r="AE100" s="1">
        <v>0</v>
      </c>
      <c r="AF100" s="1">
        <v>8</v>
      </c>
      <c r="AG100" s="1">
        <v>15</v>
      </c>
      <c r="AH100" s="1">
        <v>2</v>
      </c>
      <c r="AI100" s="6">
        <v>0.2998</v>
      </c>
      <c r="AJ100" s="7">
        <v>35.8</v>
      </c>
      <c r="AK100" s="7">
        <v>130</v>
      </c>
    </row>
    <row r="101" s="1" customFormat="1" spans="1:37">
      <c r="A101" s="1">
        <v>126</v>
      </c>
      <c r="B101" s="1">
        <v>1</v>
      </c>
      <c r="C101" s="1">
        <v>77</v>
      </c>
      <c r="D101" s="1">
        <v>2</v>
      </c>
      <c r="E101" s="1">
        <v>2</v>
      </c>
      <c r="F101" s="1">
        <v>177</v>
      </c>
      <c r="G101" s="1">
        <v>68</v>
      </c>
      <c r="H101" s="1">
        <f t="shared" si="1"/>
        <v>21.7051294327939</v>
      </c>
      <c r="I101" s="1">
        <v>0</v>
      </c>
      <c r="J101" s="1">
        <v>0</v>
      </c>
      <c r="K101" s="1">
        <v>1</v>
      </c>
      <c r="L101" s="1">
        <v>0</v>
      </c>
      <c r="M101" s="1">
        <v>2</v>
      </c>
      <c r="N101" s="1">
        <v>3</v>
      </c>
      <c r="O101" s="1">
        <v>70</v>
      </c>
      <c r="P101" s="1">
        <v>133</v>
      </c>
      <c r="Q101" s="1">
        <v>900</v>
      </c>
      <c r="R101" s="1">
        <v>100</v>
      </c>
      <c r="S101" s="1">
        <v>100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7</v>
      </c>
      <c r="AG101" s="1">
        <v>7</v>
      </c>
      <c r="AH101" s="1">
        <v>1</v>
      </c>
      <c r="AI101" s="6">
        <v>0.366</v>
      </c>
      <c r="AJ101" s="7">
        <v>36.2</v>
      </c>
      <c r="AK101" s="7">
        <v>88</v>
      </c>
    </row>
    <row r="102" s="1" customFormat="1" spans="1:37">
      <c r="A102" s="1">
        <v>127</v>
      </c>
      <c r="B102" s="1">
        <v>2</v>
      </c>
      <c r="C102" s="1">
        <v>79</v>
      </c>
      <c r="D102" s="1">
        <v>3</v>
      </c>
      <c r="E102" s="1">
        <v>1</v>
      </c>
      <c r="F102" s="1">
        <v>160</v>
      </c>
      <c r="G102" s="1">
        <v>39</v>
      </c>
      <c r="H102" s="1">
        <f t="shared" si="1"/>
        <v>15.234375</v>
      </c>
      <c r="I102" s="1">
        <v>0</v>
      </c>
      <c r="J102" s="1">
        <v>0</v>
      </c>
      <c r="K102" s="1">
        <v>0</v>
      </c>
      <c r="L102" s="1">
        <v>0</v>
      </c>
      <c r="M102" s="1">
        <v>2</v>
      </c>
      <c r="N102" s="1">
        <v>3</v>
      </c>
      <c r="O102" s="1">
        <v>50</v>
      </c>
      <c r="P102" s="1">
        <v>143</v>
      </c>
      <c r="Q102" s="1">
        <v>800</v>
      </c>
      <c r="R102" s="1">
        <v>100</v>
      </c>
      <c r="S102" s="1">
        <v>100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2</v>
      </c>
      <c r="AB102" s="1">
        <v>1</v>
      </c>
      <c r="AC102" s="1">
        <v>0</v>
      </c>
      <c r="AD102" s="1">
        <v>0</v>
      </c>
      <c r="AE102" s="1">
        <v>0</v>
      </c>
      <c r="AF102" s="1">
        <v>5</v>
      </c>
      <c r="AG102" s="1">
        <v>7</v>
      </c>
      <c r="AH102" s="1">
        <v>4</v>
      </c>
      <c r="AI102" s="6">
        <v>0.24</v>
      </c>
      <c r="AJ102" s="7">
        <v>32</v>
      </c>
      <c r="AK102" s="7">
        <v>99</v>
      </c>
    </row>
    <row r="103" s="1" customFormat="1" spans="1:37">
      <c r="A103" s="1">
        <v>128</v>
      </c>
      <c r="B103" s="1">
        <v>2</v>
      </c>
      <c r="C103" s="1">
        <v>66</v>
      </c>
      <c r="D103" s="1">
        <v>2</v>
      </c>
      <c r="E103" s="1">
        <v>2</v>
      </c>
      <c r="F103" s="1">
        <v>156</v>
      </c>
      <c r="G103" s="1">
        <v>63</v>
      </c>
      <c r="H103" s="1">
        <f t="shared" si="1"/>
        <v>25.887573964497</v>
      </c>
      <c r="I103" s="1">
        <v>0</v>
      </c>
      <c r="J103" s="1">
        <v>0</v>
      </c>
      <c r="K103" s="1">
        <v>0</v>
      </c>
      <c r="L103" s="1">
        <v>0</v>
      </c>
      <c r="M103" s="1">
        <v>2</v>
      </c>
      <c r="N103" s="1">
        <v>3</v>
      </c>
      <c r="O103" s="1">
        <v>65</v>
      </c>
      <c r="P103" s="1">
        <v>169</v>
      </c>
      <c r="Q103" s="1">
        <v>650</v>
      </c>
      <c r="R103" s="1">
        <v>100</v>
      </c>
      <c r="S103" s="1">
        <v>100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3</v>
      </c>
      <c r="AG103" s="1">
        <v>14</v>
      </c>
      <c r="AH103" s="1">
        <v>0</v>
      </c>
      <c r="AI103" s="6">
        <v>0.3718</v>
      </c>
      <c r="AJ103" s="7">
        <v>43.2</v>
      </c>
      <c r="AK103" s="7">
        <v>52</v>
      </c>
    </row>
    <row r="104" s="1" customFormat="1" spans="1:37">
      <c r="A104" s="1">
        <v>130</v>
      </c>
      <c r="B104" s="1">
        <v>2</v>
      </c>
      <c r="C104" s="1">
        <v>73</v>
      </c>
      <c r="D104" s="1">
        <v>3</v>
      </c>
      <c r="E104" s="1">
        <v>2</v>
      </c>
      <c r="F104" s="1">
        <v>160</v>
      </c>
      <c r="G104" s="1">
        <v>45</v>
      </c>
      <c r="H104" s="1">
        <f t="shared" si="1"/>
        <v>17.578125</v>
      </c>
      <c r="I104" s="1">
        <v>1</v>
      </c>
      <c r="J104" s="1">
        <v>0</v>
      </c>
      <c r="K104" s="1">
        <v>0</v>
      </c>
      <c r="L104" s="1">
        <v>0</v>
      </c>
      <c r="M104" s="1">
        <v>2</v>
      </c>
      <c r="N104" s="1">
        <v>3</v>
      </c>
      <c r="O104" s="1">
        <v>130</v>
      </c>
      <c r="P104" s="1">
        <v>221</v>
      </c>
      <c r="Q104" s="1">
        <v>800</v>
      </c>
      <c r="R104" s="1">
        <v>100</v>
      </c>
      <c r="S104" s="1">
        <v>100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8</v>
      </c>
      <c r="AG104" s="1">
        <v>4</v>
      </c>
      <c r="AH104" s="1">
        <v>3</v>
      </c>
      <c r="AI104" s="6">
        <v>0.2892</v>
      </c>
      <c r="AJ104" s="7">
        <v>39.1</v>
      </c>
      <c r="AK104" s="7">
        <v>54</v>
      </c>
    </row>
    <row r="105" s="1" customFormat="1" spans="1:37">
      <c r="A105" s="1">
        <v>132</v>
      </c>
      <c r="B105" s="1">
        <v>1</v>
      </c>
      <c r="C105" s="1">
        <v>84</v>
      </c>
      <c r="D105" s="1">
        <v>2</v>
      </c>
      <c r="E105" s="1">
        <v>2</v>
      </c>
      <c r="F105" s="1">
        <v>158</v>
      </c>
      <c r="G105" s="1">
        <v>45</v>
      </c>
      <c r="H105" s="1">
        <f t="shared" si="1"/>
        <v>18.0259573786252</v>
      </c>
      <c r="I105" s="1">
        <v>1</v>
      </c>
      <c r="J105" s="1">
        <v>0</v>
      </c>
      <c r="K105" s="1">
        <v>0</v>
      </c>
      <c r="L105" s="1">
        <v>0</v>
      </c>
      <c r="M105" s="1">
        <v>2</v>
      </c>
      <c r="N105" s="1">
        <v>3</v>
      </c>
      <c r="O105" s="1">
        <v>75</v>
      </c>
      <c r="P105" s="1">
        <v>178</v>
      </c>
      <c r="Q105" s="1">
        <v>1200</v>
      </c>
      <c r="R105" s="1">
        <v>100</v>
      </c>
      <c r="S105" s="1">
        <v>100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8</v>
      </c>
      <c r="AG105" s="1">
        <v>5</v>
      </c>
      <c r="AH105" s="1">
        <v>2</v>
      </c>
      <c r="AI105" s="1">
        <v>0.359</v>
      </c>
      <c r="AJ105" s="7">
        <v>36.2</v>
      </c>
      <c r="AK105" s="7">
        <v>74</v>
      </c>
    </row>
    <row r="106" s="1" customFormat="1" spans="1:37">
      <c r="A106" s="1">
        <v>133</v>
      </c>
      <c r="B106" s="1">
        <v>2</v>
      </c>
      <c r="C106" s="1">
        <v>77</v>
      </c>
      <c r="D106" s="1">
        <v>2</v>
      </c>
      <c r="E106" s="1">
        <v>2</v>
      </c>
      <c r="F106" s="1">
        <v>150</v>
      </c>
      <c r="G106" s="1">
        <v>60</v>
      </c>
      <c r="H106" s="1">
        <f t="shared" si="1"/>
        <v>26.6666666666667</v>
      </c>
      <c r="I106" s="1">
        <v>1</v>
      </c>
      <c r="J106" s="1">
        <v>0</v>
      </c>
      <c r="K106" s="1">
        <v>0</v>
      </c>
      <c r="L106" s="1">
        <v>0</v>
      </c>
      <c r="M106" s="1">
        <v>2</v>
      </c>
      <c r="N106" s="1">
        <v>3</v>
      </c>
      <c r="O106" s="1">
        <v>70</v>
      </c>
      <c r="P106" s="1">
        <v>170</v>
      </c>
      <c r="Q106" s="1">
        <v>1200</v>
      </c>
      <c r="R106" s="1">
        <v>100</v>
      </c>
      <c r="S106" s="1">
        <v>100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</v>
      </c>
      <c r="AB106" s="1">
        <v>0</v>
      </c>
      <c r="AC106" s="1">
        <v>0</v>
      </c>
      <c r="AD106" s="1">
        <v>0</v>
      </c>
      <c r="AE106" s="1">
        <v>0</v>
      </c>
      <c r="AF106" s="1">
        <v>6</v>
      </c>
      <c r="AG106" s="1">
        <v>15</v>
      </c>
      <c r="AH106" s="1">
        <v>1</v>
      </c>
      <c r="AI106" s="6">
        <v>0.3673</v>
      </c>
      <c r="AJ106" s="7">
        <v>38.5</v>
      </c>
      <c r="AK106" s="7">
        <v>72</v>
      </c>
    </row>
    <row r="107" s="1" customFormat="1" spans="1:37">
      <c r="A107" s="1">
        <v>134</v>
      </c>
      <c r="B107" s="1">
        <v>2</v>
      </c>
      <c r="C107" s="1">
        <v>74</v>
      </c>
      <c r="D107" s="1">
        <v>1</v>
      </c>
      <c r="E107" s="1">
        <v>2</v>
      </c>
      <c r="F107" s="1">
        <v>150</v>
      </c>
      <c r="G107" s="1">
        <v>50</v>
      </c>
      <c r="H107" s="1">
        <f t="shared" si="1"/>
        <v>22.2222222222222</v>
      </c>
      <c r="I107" s="1">
        <v>0</v>
      </c>
      <c r="J107" s="1">
        <v>0</v>
      </c>
      <c r="K107" s="1">
        <v>0</v>
      </c>
      <c r="L107" s="1">
        <v>1</v>
      </c>
      <c r="M107" s="1">
        <v>2</v>
      </c>
      <c r="N107" s="1">
        <v>3</v>
      </c>
      <c r="O107" s="1">
        <v>90</v>
      </c>
      <c r="P107" s="1">
        <v>145</v>
      </c>
      <c r="Q107" s="1">
        <v>1000</v>
      </c>
      <c r="R107" s="1">
        <v>100</v>
      </c>
      <c r="S107" s="1">
        <v>100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2</v>
      </c>
      <c r="AB107" s="1">
        <v>0</v>
      </c>
      <c r="AC107" s="1">
        <v>0</v>
      </c>
      <c r="AD107" s="1">
        <v>0</v>
      </c>
      <c r="AE107" s="1">
        <v>0</v>
      </c>
      <c r="AF107" s="1">
        <v>7</v>
      </c>
      <c r="AG107" s="1">
        <v>5</v>
      </c>
      <c r="AH107" s="1">
        <v>1</v>
      </c>
      <c r="AI107" s="6">
        <v>0.3504</v>
      </c>
      <c r="AJ107" s="7">
        <v>36.7</v>
      </c>
      <c r="AK107" s="7">
        <v>49</v>
      </c>
    </row>
    <row r="108" s="1" customFormat="1" spans="1:37">
      <c r="A108" s="1">
        <v>135</v>
      </c>
      <c r="B108" s="1">
        <v>2</v>
      </c>
      <c r="C108" s="1">
        <v>95</v>
      </c>
      <c r="D108" s="1">
        <v>2</v>
      </c>
      <c r="E108" s="1">
        <v>2</v>
      </c>
      <c r="F108" s="1">
        <v>150</v>
      </c>
      <c r="G108" s="1">
        <v>49</v>
      </c>
      <c r="H108" s="1">
        <f t="shared" si="1"/>
        <v>21.7777777777778</v>
      </c>
      <c r="I108" s="1">
        <v>0</v>
      </c>
      <c r="J108" s="1">
        <v>0</v>
      </c>
      <c r="K108" s="1">
        <v>0</v>
      </c>
      <c r="L108" s="1">
        <v>0</v>
      </c>
      <c r="M108" s="1">
        <v>2</v>
      </c>
      <c r="N108" s="1">
        <v>3</v>
      </c>
      <c r="O108" s="1">
        <v>70</v>
      </c>
      <c r="P108" s="1">
        <v>163</v>
      </c>
      <c r="Q108" s="1">
        <v>900</v>
      </c>
      <c r="R108" s="1">
        <v>100</v>
      </c>
      <c r="S108" s="1">
        <v>100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4</v>
      </c>
      <c r="AG108" s="1">
        <v>8</v>
      </c>
      <c r="AH108" s="1">
        <v>3</v>
      </c>
      <c r="AI108" s="6">
        <v>0.2077</v>
      </c>
      <c r="AJ108" s="7">
        <v>32.5</v>
      </c>
      <c r="AK108" s="7">
        <v>54</v>
      </c>
    </row>
    <row r="109" s="1" customFormat="1" spans="1:37">
      <c r="A109" s="8">
        <v>136</v>
      </c>
      <c r="B109" s="8">
        <v>2</v>
      </c>
      <c r="C109" s="8">
        <v>85</v>
      </c>
      <c r="D109" s="8">
        <v>2</v>
      </c>
      <c r="E109" s="8">
        <v>2</v>
      </c>
      <c r="F109" s="8">
        <v>165</v>
      </c>
      <c r="G109" s="8">
        <v>52</v>
      </c>
      <c r="H109" s="1">
        <f t="shared" si="1"/>
        <v>19.1000918273646</v>
      </c>
      <c r="I109" s="8">
        <v>1</v>
      </c>
      <c r="J109" s="1">
        <v>0</v>
      </c>
      <c r="K109" s="1">
        <v>0</v>
      </c>
      <c r="L109" s="1">
        <v>0</v>
      </c>
      <c r="M109" s="8">
        <v>2</v>
      </c>
      <c r="N109" s="8">
        <v>3</v>
      </c>
      <c r="O109" s="8">
        <v>60</v>
      </c>
      <c r="P109" s="8">
        <v>182</v>
      </c>
      <c r="Q109" s="8">
        <v>900</v>
      </c>
      <c r="R109" s="8">
        <v>100</v>
      </c>
      <c r="S109" s="8">
        <v>100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8">
        <v>0</v>
      </c>
      <c r="AB109" s="8">
        <v>0</v>
      </c>
      <c r="AC109" s="1">
        <v>0</v>
      </c>
      <c r="AD109" s="1">
        <v>0</v>
      </c>
      <c r="AE109" s="1">
        <v>0</v>
      </c>
      <c r="AF109" s="8">
        <v>3</v>
      </c>
      <c r="AG109" s="8">
        <v>10</v>
      </c>
      <c r="AH109" s="1">
        <v>2</v>
      </c>
      <c r="AI109" s="6">
        <v>0.2933</v>
      </c>
      <c r="AJ109" s="7">
        <v>34.4</v>
      </c>
      <c r="AK109" s="7">
        <v>46</v>
      </c>
    </row>
    <row r="110" s="1" customFormat="1" spans="1:37">
      <c r="A110" s="1">
        <v>137</v>
      </c>
      <c r="B110" s="1">
        <v>1</v>
      </c>
      <c r="C110" s="1">
        <v>79</v>
      </c>
      <c r="D110" s="1">
        <v>3</v>
      </c>
      <c r="E110" s="1">
        <v>2</v>
      </c>
      <c r="F110" s="1">
        <v>168</v>
      </c>
      <c r="G110" s="1">
        <v>55</v>
      </c>
      <c r="H110" s="1">
        <f t="shared" si="1"/>
        <v>19.4869614512472</v>
      </c>
      <c r="I110" s="1">
        <v>1</v>
      </c>
      <c r="J110" s="1">
        <v>0</v>
      </c>
      <c r="K110" s="1">
        <v>1</v>
      </c>
      <c r="L110" s="1">
        <v>1</v>
      </c>
      <c r="M110" s="1">
        <v>2</v>
      </c>
      <c r="N110" s="1">
        <v>3</v>
      </c>
      <c r="O110" s="1">
        <v>100</v>
      </c>
      <c r="P110" s="1">
        <v>145</v>
      </c>
      <c r="Q110" s="1">
        <v>900</v>
      </c>
      <c r="R110" s="1">
        <v>100</v>
      </c>
      <c r="S110" s="1">
        <v>100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0</v>
      </c>
      <c r="AF110" s="1">
        <v>4</v>
      </c>
      <c r="AG110" s="1">
        <v>6</v>
      </c>
      <c r="AH110" s="1">
        <v>3</v>
      </c>
      <c r="AI110" s="6">
        <v>0.268</v>
      </c>
      <c r="AJ110" s="7">
        <v>34.6</v>
      </c>
      <c r="AK110" s="7">
        <v>204</v>
      </c>
    </row>
    <row r="111" s="1" customFormat="1" spans="1:37">
      <c r="A111" s="1">
        <v>138</v>
      </c>
      <c r="B111" s="1">
        <v>1</v>
      </c>
      <c r="C111" s="1">
        <v>90</v>
      </c>
      <c r="D111" s="1">
        <v>2</v>
      </c>
      <c r="E111" s="1">
        <v>2</v>
      </c>
      <c r="F111" s="1">
        <v>170</v>
      </c>
      <c r="G111" s="1">
        <v>45</v>
      </c>
      <c r="H111" s="1">
        <f t="shared" si="1"/>
        <v>15.5709342560554</v>
      </c>
      <c r="I111" s="1">
        <v>0</v>
      </c>
      <c r="J111" s="1">
        <v>0</v>
      </c>
      <c r="K111" s="1">
        <v>0</v>
      </c>
      <c r="L111" s="1">
        <v>0</v>
      </c>
      <c r="M111" s="1">
        <v>2</v>
      </c>
      <c r="N111" s="1">
        <v>3</v>
      </c>
      <c r="O111" s="1">
        <v>80</v>
      </c>
      <c r="P111" s="1">
        <v>160</v>
      </c>
      <c r="Q111" s="1">
        <v>900</v>
      </c>
      <c r="R111" s="1">
        <v>100</v>
      </c>
      <c r="S111" s="1">
        <v>100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3</v>
      </c>
      <c r="AG111" s="1">
        <v>3</v>
      </c>
      <c r="AH111" s="1">
        <v>3</v>
      </c>
      <c r="AI111" s="6">
        <v>0.3026</v>
      </c>
      <c r="AJ111" s="7">
        <v>37.3</v>
      </c>
      <c r="AK111" s="7">
        <v>100</v>
      </c>
    </row>
    <row r="112" s="1" customFormat="1" spans="1:37">
      <c r="A112" s="1">
        <v>139</v>
      </c>
      <c r="B112" s="1">
        <v>1</v>
      </c>
      <c r="C112" s="1">
        <v>78</v>
      </c>
      <c r="D112" s="1">
        <v>2</v>
      </c>
      <c r="E112" s="1">
        <v>1</v>
      </c>
      <c r="F112" s="1">
        <v>165</v>
      </c>
      <c r="G112" s="1">
        <v>65</v>
      </c>
      <c r="H112" s="1">
        <f t="shared" si="1"/>
        <v>23.8751147842057</v>
      </c>
      <c r="I112" s="1">
        <v>1</v>
      </c>
      <c r="J112" s="1">
        <v>0</v>
      </c>
      <c r="K112" s="1">
        <v>0</v>
      </c>
      <c r="L112" s="1">
        <v>0</v>
      </c>
      <c r="M112" s="1">
        <v>2</v>
      </c>
      <c r="N112" s="1">
        <v>5</v>
      </c>
      <c r="O112" s="1">
        <v>240</v>
      </c>
      <c r="P112" s="1">
        <v>376</v>
      </c>
      <c r="Q112" s="1">
        <v>3200</v>
      </c>
      <c r="R112" s="1">
        <v>100</v>
      </c>
      <c r="S112" s="1">
        <v>100</v>
      </c>
      <c r="T112" s="1">
        <v>400</v>
      </c>
      <c r="U112" s="1">
        <v>0</v>
      </c>
      <c r="V112" s="1">
        <v>0</v>
      </c>
      <c r="W112" s="1">
        <v>0</v>
      </c>
      <c r="X112" s="1">
        <v>1</v>
      </c>
      <c r="Y112" s="1">
        <v>0</v>
      </c>
      <c r="Z112" s="1">
        <v>1</v>
      </c>
      <c r="AA112" s="1">
        <v>0</v>
      </c>
      <c r="AB112" s="1">
        <v>0</v>
      </c>
      <c r="AC112" s="1">
        <v>0</v>
      </c>
      <c r="AD112" s="1">
        <v>0</v>
      </c>
      <c r="AE112" s="1">
        <v>1</v>
      </c>
      <c r="AF112" s="1">
        <v>4</v>
      </c>
      <c r="AG112" s="1">
        <v>14</v>
      </c>
      <c r="AH112" s="1">
        <v>1</v>
      </c>
      <c r="AI112" s="6">
        <v>0.3671</v>
      </c>
      <c r="AJ112" s="7">
        <v>36</v>
      </c>
      <c r="AK112" s="7">
        <v>77</v>
      </c>
    </row>
    <row r="113" s="1" customFormat="1" spans="1:37">
      <c r="A113" s="1">
        <v>140</v>
      </c>
      <c r="B113" s="1">
        <v>2</v>
      </c>
      <c r="C113" s="1">
        <v>76</v>
      </c>
      <c r="D113" s="1">
        <v>3</v>
      </c>
      <c r="E113" s="1">
        <v>2</v>
      </c>
      <c r="F113" s="1">
        <v>150</v>
      </c>
      <c r="G113" s="1">
        <v>100</v>
      </c>
      <c r="H113" s="1">
        <f t="shared" si="1"/>
        <v>44.4444444444444</v>
      </c>
      <c r="I113" s="1">
        <v>1</v>
      </c>
      <c r="J113" s="1">
        <v>0</v>
      </c>
      <c r="K113" s="1">
        <v>1</v>
      </c>
      <c r="L113" s="1">
        <v>0</v>
      </c>
      <c r="M113" s="1">
        <v>2</v>
      </c>
      <c r="N113" s="1">
        <v>3</v>
      </c>
      <c r="O113" s="1">
        <v>80</v>
      </c>
      <c r="P113" s="1">
        <v>158</v>
      </c>
      <c r="Q113" s="1">
        <v>1300</v>
      </c>
      <c r="R113" s="1">
        <v>100</v>
      </c>
      <c r="S113" s="1">
        <v>100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0</v>
      </c>
      <c r="AC113" s="1">
        <v>0</v>
      </c>
      <c r="AD113" s="1">
        <v>0</v>
      </c>
      <c r="AE113" s="1">
        <v>0</v>
      </c>
      <c r="AF113" s="1">
        <v>4</v>
      </c>
      <c r="AG113" s="1">
        <v>19</v>
      </c>
      <c r="AH113" s="1">
        <v>2</v>
      </c>
      <c r="AI113" s="6">
        <v>0.2853</v>
      </c>
      <c r="AJ113" s="7">
        <v>40.3</v>
      </c>
      <c r="AK113" s="7">
        <v>98</v>
      </c>
    </row>
    <row r="114" s="1" customFormat="1" spans="1:37">
      <c r="A114" s="1">
        <v>141</v>
      </c>
      <c r="B114" s="1">
        <v>1</v>
      </c>
      <c r="C114" s="1">
        <v>83</v>
      </c>
      <c r="D114" s="1">
        <v>3</v>
      </c>
      <c r="E114" s="1">
        <v>2</v>
      </c>
      <c r="F114" s="1">
        <v>176</v>
      </c>
      <c r="G114" s="1">
        <v>61</v>
      </c>
      <c r="H114" s="1">
        <f t="shared" si="1"/>
        <v>19.6926652892562</v>
      </c>
      <c r="I114" s="1">
        <v>1</v>
      </c>
      <c r="J114" s="1">
        <v>0</v>
      </c>
      <c r="K114" s="1">
        <v>1</v>
      </c>
      <c r="L114" s="1">
        <v>0</v>
      </c>
      <c r="M114" s="1">
        <v>1</v>
      </c>
      <c r="N114" s="1">
        <v>2</v>
      </c>
      <c r="O114" s="1">
        <v>50</v>
      </c>
      <c r="P114" s="1">
        <v>128</v>
      </c>
      <c r="Q114" s="1">
        <v>700</v>
      </c>
      <c r="R114" s="1">
        <v>50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2</v>
      </c>
      <c r="AB114" s="1">
        <v>0</v>
      </c>
      <c r="AC114" s="1">
        <v>0</v>
      </c>
      <c r="AD114" s="1">
        <v>0</v>
      </c>
      <c r="AE114" s="1">
        <v>0</v>
      </c>
      <c r="AF114" s="1">
        <v>4</v>
      </c>
      <c r="AG114" s="1">
        <v>16</v>
      </c>
      <c r="AH114" s="1">
        <v>1</v>
      </c>
      <c r="AI114" s="6">
        <v>0.38</v>
      </c>
      <c r="AJ114" s="7">
        <v>37.4</v>
      </c>
      <c r="AK114" s="7">
        <v>75</v>
      </c>
    </row>
    <row r="115" s="1" customFormat="1" spans="1:37">
      <c r="A115" s="1">
        <v>142</v>
      </c>
      <c r="B115" s="1">
        <v>1</v>
      </c>
      <c r="C115" s="1">
        <v>80</v>
      </c>
      <c r="D115" s="1">
        <v>2</v>
      </c>
      <c r="E115" s="1">
        <v>2</v>
      </c>
      <c r="F115" s="1">
        <v>168</v>
      </c>
      <c r="G115" s="1">
        <v>75</v>
      </c>
      <c r="H115" s="1">
        <f t="shared" si="1"/>
        <v>26.5731292517007</v>
      </c>
      <c r="I115" s="1">
        <v>1</v>
      </c>
      <c r="J115" s="1">
        <v>0</v>
      </c>
      <c r="K115" s="1">
        <v>1</v>
      </c>
      <c r="L115" s="1">
        <v>1</v>
      </c>
      <c r="M115" s="1">
        <v>2</v>
      </c>
      <c r="N115" s="1">
        <v>4</v>
      </c>
      <c r="O115" s="1">
        <v>130</v>
      </c>
      <c r="P115" s="1">
        <v>240</v>
      </c>
      <c r="Q115" s="1">
        <v>1300</v>
      </c>
      <c r="R115" s="1">
        <v>200</v>
      </c>
      <c r="S115" s="1">
        <v>300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2</v>
      </c>
      <c r="AB115" s="1">
        <v>0</v>
      </c>
      <c r="AC115" s="1">
        <v>0</v>
      </c>
      <c r="AD115" s="1">
        <v>0</v>
      </c>
      <c r="AE115" s="1">
        <v>0</v>
      </c>
      <c r="AF115" s="1">
        <v>3</v>
      </c>
      <c r="AG115" s="1">
        <v>7</v>
      </c>
      <c r="AH115" s="1">
        <v>1</v>
      </c>
      <c r="AI115" s="6">
        <v>0.388</v>
      </c>
      <c r="AJ115" s="7">
        <v>37.5</v>
      </c>
      <c r="AK115" s="7">
        <v>123</v>
      </c>
    </row>
    <row r="116" s="1" customFormat="1" spans="1:37">
      <c r="A116" s="1">
        <v>143</v>
      </c>
      <c r="B116" s="1">
        <v>2</v>
      </c>
      <c r="C116" s="1">
        <v>82</v>
      </c>
      <c r="D116" s="1">
        <v>3</v>
      </c>
      <c r="E116" s="1">
        <v>2</v>
      </c>
      <c r="F116" s="1">
        <v>158</v>
      </c>
      <c r="G116" s="1">
        <v>55</v>
      </c>
      <c r="H116" s="1">
        <f t="shared" si="1"/>
        <v>22.0317256849864</v>
      </c>
      <c r="I116" s="1">
        <v>1</v>
      </c>
      <c r="J116" s="1">
        <v>0</v>
      </c>
      <c r="K116" s="1">
        <v>1</v>
      </c>
      <c r="L116" s="1">
        <v>0</v>
      </c>
      <c r="M116" s="1">
        <v>2</v>
      </c>
      <c r="N116" s="1">
        <v>5</v>
      </c>
      <c r="O116" s="1">
        <v>60</v>
      </c>
      <c r="P116" s="1">
        <v>115</v>
      </c>
      <c r="Q116" s="1">
        <v>400</v>
      </c>
      <c r="R116" s="1">
        <v>200</v>
      </c>
      <c r="S116" s="1">
        <v>500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  <c r="AF116" s="1">
        <v>15</v>
      </c>
      <c r="AG116" s="1">
        <v>7</v>
      </c>
      <c r="AH116" s="1">
        <v>1</v>
      </c>
      <c r="AI116" s="6">
        <v>0.405</v>
      </c>
      <c r="AJ116" s="7">
        <v>36.6</v>
      </c>
      <c r="AK116" s="7">
        <v>43</v>
      </c>
    </row>
    <row r="117" s="1" customFormat="1" spans="1:37">
      <c r="A117" s="1">
        <v>144</v>
      </c>
      <c r="B117" s="1">
        <v>2</v>
      </c>
      <c r="C117" s="1">
        <v>71</v>
      </c>
      <c r="D117" s="1">
        <v>2</v>
      </c>
      <c r="E117" s="1">
        <v>2</v>
      </c>
      <c r="F117" s="1">
        <v>162</v>
      </c>
      <c r="G117" s="1">
        <v>85</v>
      </c>
      <c r="H117" s="1">
        <f t="shared" si="1"/>
        <v>32.3883554336229</v>
      </c>
      <c r="I117" s="1">
        <v>1</v>
      </c>
      <c r="J117" s="1">
        <v>1</v>
      </c>
      <c r="K117" s="1">
        <v>0</v>
      </c>
      <c r="L117" s="1">
        <v>0</v>
      </c>
      <c r="M117" s="1">
        <v>2</v>
      </c>
      <c r="N117" s="1">
        <v>5</v>
      </c>
      <c r="O117" s="1">
        <v>90</v>
      </c>
      <c r="P117" s="1">
        <v>218</v>
      </c>
      <c r="Q117" s="1">
        <v>1200</v>
      </c>
      <c r="R117" s="1">
        <v>200</v>
      </c>
      <c r="S117" s="1">
        <v>100</v>
      </c>
      <c r="T117" s="1">
        <v>0</v>
      </c>
      <c r="U117" s="1">
        <v>200</v>
      </c>
      <c r="V117" s="1">
        <v>0</v>
      </c>
      <c r="W117" s="1">
        <v>0</v>
      </c>
      <c r="X117" s="1">
        <v>1</v>
      </c>
      <c r="Y117" s="1">
        <v>0</v>
      </c>
      <c r="Z117" s="1">
        <v>1</v>
      </c>
      <c r="AA117" s="1">
        <v>2</v>
      </c>
      <c r="AB117" s="1">
        <v>0</v>
      </c>
      <c r="AC117" s="1">
        <v>0</v>
      </c>
      <c r="AD117" s="1">
        <v>0</v>
      </c>
      <c r="AE117" s="1">
        <v>0</v>
      </c>
      <c r="AF117" s="1">
        <v>2</v>
      </c>
      <c r="AG117" s="1">
        <v>30</v>
      </c>
      <c r="AH117" s="1">
        <v>2</v>
      </c>
      <c r="AI117" s="6">
        <v>0.33</v>
      </c>
      <c r="AJ117" s="7">
        <v>36.5</v>
      </c>
      <c r="AK117" s="7">
        <v>57</v>
      </c>
    </row>
    <row r="118" s="1" customFormat="1" spans="1:37">
      <c r="A118" s="1">
        <v>145</v>
      </c>
      <c r="B118" s="1">
        <v>2</v>
      </c>
      <c r="C118" s="1">
        <v>81</v>
      </c>
      <c r="D118" s="1">
        <v>3</v>
      </c>
      <c r="E118" s="1">
        <v>2</v>
      </c>
      <c r="F118" s="1">
        <v>162</v>
      </c>
      <c r="G118" s="1">
        <v>85</v>
      </c>
      <c r="H118" s="1">
        <f t="shared" si="1"/>
        <v>32.3883554336229</v>
      </c>
      <c r="I118" s="1">
        <v>1</v>
      </c>
      <c r="J118" s="1">
        <v>0</v>
      </c>
      <c r="K118" s="1">
        <v>0</v>
      </c>
      <c r="L118" s="1">
        <v>0</v>
      </c>
      <c r="M118" s="1">
        <v>2</v>
      </c>
      <c r="N118" s="1">
        <v>3</v>
      </c>
      <c r="O118" s="1">
        <v>150</v>
      </c>
      <c r="P118" s="1">
        <v>253</v>
      </c>
      <c r="Q118" s="1">
        <v>1000</v>
      </c>
      <c r="R118" s="1">
        <v>200</v>
      </c>
      <c r="S118" s="1">
        <v>100</v>
      </c>
      <c r="T118" s="1">
        <v>0</v>
      </c>
      <c r="U118" s="1">
        <v>0</v>
      </c>
      <c r="V118" s="1">
        <v>400</v>
      </c>
      <c r="W118" s="1">
        <v>400</v>
      </c>
      <c r="X118" s="1">
        <v>0</v>
      </c>
      <c r="Y118" s="1">
        <v>1</v>
      </c>
      <c r="Z118" s="1">
        <v>1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2</v>
      </c>
      <c r="AG118" s="1">
        <v>14</v>
      </c>
      <c r="AH118" s="1">
        <v>2</v>
      </c>
      <c r="AI118" s="6">
        <v>0.302</v>
      </c>
      <c r="AJ118" s="7">
        <v>37.4</v>
      </c>
      <c r="AK118" s="7">
        <v>101</v>
      </c>
    </row>
    <row r="119" s="1" customFormat="1" spans="1:37">
      <c r="A119" s="1">
        <v>146</v>
      </c>
      <c r="B119" s="1">
        <v>2</v>
      </c>
      <c r="C119" s="1">
        <v>84</v>
      </c>
      <c r="D119" s="1">
        <v>2</v>
      </c>
      <c r="E119" s="1">
        <v>2</v>
      </c>
      <c r="F119" s="1">
        <v>161</v>
      </c>
      <c r="G119" s="1">
        <v>62</v>
      </c>
      <c r="H119" s="1">
        <f t="shared" si="1"/>
        <v>23.9188302920412</v>
      </c>
      <c r="I119" s="1">
        <v>1</v>
      </c>
      <c r="J119" s="1">
        <v>0</v>
      </c>
      <c r="K119" s="1">
        <v>1</v>
      </c>
      <c r="L119" s="1">
        <v>0</v>
      </c>
      <c r="M119" s="1">
        <v>2</v>
      </c>
      <c r="N119" s="1">
        <v>4</v>
      </c>
      <c r="O119" s="1">
        <v>60</v>
      </c>
      <c r="P119" s="1">
        <v>192</v>
      </c>
      <c r="Q119" s="1">
        <v>1000</v>
      </c>
      <c r="R119" s="1">
        <v>150</v>
      </c>
      <c r="S119" s="1">
        <v>900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10</v>
      </c>
      <c r="AG119" s="1">
        <v>4</v>
      </c>
      <c r="AH119" s="1">
        <v>2</v>
      </c>
      <c r="AI119" s="6">
        <v>0.346</v>
      </c>
      <c r="AJ119" s="7">
        <v>34.8</v>
      </c>
      <c r="AK119" s="7">
        <v>53</v>
      </c>
    </row>
    <row r="120" s="1" customFormat="1" spans="1:37">
      <c r="A120" s="1">
        <v>148</v>
      </c>
      <c r="B120" s="1">
        <v>2</v>
      </c>
      <c r="C120" s="1">
        <v>82</v>
      </c>
      <c r="D120" s="1">
        <v>2</v>
      </c>
      <c r="E120" s="1">
        <v>2</v>
      </c>
      <c r="F120" s="1">
        <v>146</v>
      </c>
      <c r="G120" s="1">
        <v>43</v>
      </c>
      <c r="H120" s="1">
        <f t="shared" si="1"/>
        <v>20.1726402702196</v>
      </c>
      <c r="I120" s="1">
        <v>1</v>
      </c>
      <c r="J120" s="1">
        <v>1</v>
      </c>
      <c r="K120" s="1">
        <v>1</v>
      </c>
      <c r="L120" s="1">
        <v>0</v>
      </c>
      <c r="M120" s="1">
        <v>2</v>
      </c>
      <c r="N120" s="1">
        <v>4</v>
      </c>
      <c r="O120" s="1">
        <v>60</v>
      </c>
      <c r="P120" s="1">
        <v>154</v>
      </c>
      <c r="Q120" s="1">
        <v>800</v>
      </c>
      <c r="R120" s="1">
        <v>300</v>
      </c>
      <c r="S120" s="1">
        <v>200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2</v>
      </c>
      <c r="AB120" s="1">
        <v>0</v>
      </c>
      <c r="AC120" s="1">
        <v>0</v>
      </c>
      <c r="AD120" s="1">
        <v>0</v>
      </c>
      <c r="AE120" s="1">
        <v>0</v>
      </c>
      <c r="AF120" s="1">
        <v>4</v>
      </c>
      <c r="AG120" s="1">
        <v>13</v>
      </c>
      <c r="AH120" s="1">
        <v>3</v>
      </c>
      <c r="AI120" s="1">
        <v>0.296</v>
      </c>
      <c r="AJ120" s="7">
        <v>31.2</v>
      </c>
      <c r="AK120" s="7">
        <v>74</v>
      </c>
    </row>
    <row r="121" s="1" customFormat="1" spans="1:37">
      <c r="A121" s="1">
        <v>149</v>
      </c>
      <c r="B121" s="1">
        <v>1</v>
      </c>
      <c r="C121" s="1">
        <v>83</v>
      </c>
      <c r="D121" s="1">
        <v>2</v>
      </c>
      <c r="E121" s="1">
        <v>2</v>
      </c>
      <c r="F121" s="1">
        <v>160</v>
      </c>
      <c r="G121" s="1">
        <v>40</v>
      </c>
      <c r="H121" s="1">
        <f t="shared" si="1"/>
        <v>15.625</v>
      </c>
      <c r="I121" s="1">
        <v>0</v>
      </c>
      <c r="J121" s="1">
        <v>0</v>
      </c>
      <c r="K121" s="1">
        <v>0</v>
      </c>
      <c r="L121" s="1">
        <v>0</v>
      </c>
      <c r="M121" s="1">
        <v>2</v>
      </c>
      <c r="N121" s="1">
        <v>4</v>
      </c>
      <c r="O121" s="1">
        <v>100</v>
      </c>
      <c r="P121" s="1">
        <v>150</v>
      </c>
      <c r="Q121" s="1">
        <v>700</v>
      </c>
      <c r="R121" s="1">
        <v>200</v>
      </c>
      <c r="S121" s="1">
        <v>250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5</v>
      </c>
      <c r="AG121" s="1">
        <v>5</v>
      </c>
      <c r="AH121" s="1">
        <v>4</v>
      </c>
      <c r="AI121" s="6">
        <v>0.292</v>
      </c>
      <c r="AJ121" s="7">
        <v>32.2</v>
      </c>
      <c r="AK121" s="7">
        <v>51</v>
      </c>
    </row>
    <row r="122" s="1" customFormat="1" spans="1:37">
      <c r="A122" s="1">
        <v>150</v>
      </c>
      <c r="B122" s="1">
        <v>2</v>
      </c>
      <c r="C122" s="1">
        <v>82</v>
      </c>
      <c r="D122" s="1">
        <v>3</v>
      </c>
      <c r="E122" s="1">
        <v>2</v>
      </c>
      <c r="F122" s="1">
        <v>150</v>
      </c>
      <c r="G122" s="1">
        <v>40</v>
      </c>
      <c r="H122" s="1">
        <f t="shared" si="1"/>
        <v>17.7777777777778</v>
      </c>
      <c r="I122" s="1">
        <v>1</v>
      </c>
      <c r="J122" s="1">
        <v>0</v>
      </c>
      <c r="K122" s="1">
        <v>1</v>
      </c>
      <c r="L122" s="1">
        <v>1</v>
      </c>
      <c r="M122" s="1">
        <v>1</v>
      </c>
      <c r="N122" s="1">
        <v>2</v>
      </c>
      <c r="O122" s="1">
        <v>70</v>
      </c>
      <c r="P122" s="1">
        <v>158</v>
      </c>
      <c r="Q122" s="1">
        <v>800</v>
      </c>
      <c r="R122" s="1">
        <v>10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3</v>
      </c>
      <c r="AG122" s="1">
        <v>3</v>
      </c>
      <c r="AH122" s="1">
        <v>4</v>
      </c>
      <c r="AI122" s="6">
        <v>0.305</v>
      </c>
      <c r="AJ122" s="7">
        <v>31.4</v>
      </c>
      <c r="AK122" s="7">
        <v>149</v>
      </c>
    </row>
    <row r="123" s="1" customFormat="1" spans="1:37">
      <c r="A123" s="1">
        <v>151</v>
      </c>
      <c r="B123" s="1">
        <v>1</v>
      </c>
      <c r="C123" s="1">
        <v>93</v>
      </c>
      <c r="D123" s="1">
        <v>3</v>
      </c>
      <c r="E123" s="1">
        <v>2</v>
      </c>
      <c r="F123" s="1">
        <v>175</v>
      </c>
      <c r="G123" s="1">
        <v>74</v>
      </c>
      <c r="H123" s="1">
        <f t="shared" si="1"/>
        <v>24.1632653061224</v>
      </c>
      <c r="I123" s="1">
        <v>0</v>
      </c>
      <c r="J123" s="1">
        <v>0</v>
      </c>
      <c r="K123" s="1">
        <v>1</v>
      </c>
      <c r="L123" s="1">
        <v>1</v>
      </c>
      <c r="M123" s="1">
        <v>2</v>
      </c>
      <c r="N123" s="1">
        <v>4</v>
      </c>
      <c r="O123" s="1">
        <v>60</v>
      </c>
      <c r="P123" s="1">
        <v>173</v>
      </c>
      <c r="Q123" s="1">
        <v>700</v>
      </c>
      <c r="R123" s="1">
        <v>200</v>
      </c>
      <c r="S123" s="1">
        <v>200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5</v>
      </c>
      <c r="AG123" s="1">
        <v>10</v>
      </c>
      <c r="AH123" s="1">
        <v>2</v>
      </c>
      <c r="AI123" s="6">
        <v>0.354</v>
      </c>
      <c r="AJ123" s="7">
        <v>30.8</v>
      </c>
      <c r="AK123" s="7">
        <v>105</v>
      </c>
    </row>
    <row r="124" s="1" customFormat="1" spans="1:37">
      <c r="A124" s="1">
        <v>152</v>
      </c>
      <c r="B124" s="1">
        <v>1</v>
      </c>
      <c r="C124" s="1">
        <v>92</v>
      </c>
      <c r="D124" s="1">
        <v>3</v>
      </c>
      <c r="E124" s="1">
        <v>2</v>
      </c>
      <c r="F124" s="1">
        <v>175</v>
      </c>
      <c r="G124" s="1">
        <v>60</v>
      </c>
      <c r="H124" s="1">
        <f t="shared" si="1"/>
        <v>19.5918367346939</v>
      </c>
      <c r="I124" s="1">
        <v>0</v>
      </c>
      <c r="J124" s="1">
        <v>0</v>
      </c>
      <c r="K124" s="1">
        <v>0</v>
      </c>
      <c r="L124" s="1">
        <v>0</v>
      </c>
      <c r="M124" s="1">
        <v>3</v>
      </c>
      <c r="N124" s="1">
        <v>3</v>
      </c>
      <c r="O124" s="1">
        <v>100</v>
      </c>
      <c r="P124" s="1">
        <v>164</v>
      </c>
      <c r="Q124" s="1">
        <v>300</v>
      </c>
      <c r="R124" s="1">
        <v>50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11</v>
      </c>
      <c r="AG124" s="1">
        <v>17</v>
      </c>
      <c r="AH124" s="1">
        <v>3</v>
      </c>
      <c r="AI124" s="6">
        <v>0.259</v>
      </c>
      <c r="AJ124" s="7">
        <v>29.3</v>
      </c>
      <c r="AK124" s="7">
        <v>132</v>
      </c>
    </row>
    <row r="125" s="1" customFormat="1" spans="1:37">
      <c r="A125" s="1">
        <v>153</v>
      </c>
      <c r="B125" s="1">
        <v>2</v>
      </c>
      <c r="C125" s="1">
        <v>80</v>
      </c>
      <c r="D125" s="1">
        <v>3</v>
      </c>
      <c r="E125" s="1">
        <v>2</v>
      </c>
      <c r="F125" s="1">
        <v>155</v>
      </c>
      <c r="G125" s="1">
        <v>72</v>
      </c>
      <c r="H125" s="1">
        <f t="shared" si="1"/>
        <v>29.9687825182102</v>
      </c>
      <c r="I125" s="1">
        <v>1</v>
      </c>
      <c r="J125" s="1">
        <v>0</v>
      </c>
      <c r="K125" s="1">
        <v>1</v>
      </c>
      <c r="L125" s="1">
        <v>1</v>
      </c>
      <c r="M125" s="1">
        <v>2</v>
      </c>
      <c r="N125" s="1">
        <v>4</v>
      </c>
      <c r="O125" s="1">
        <v>60</v>
      </c>
      <c r="P125" s="1">
        <v>159</v>
      </c>
      <c r="Q125" s="1">
        <v>500</v>
      </c>
      <c r="R125" s="1">
        <v>50</v>
      </c>
      <c r="S125" s="1">
        <v>100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10</v>
      </c>
      <c r="AG125" s="1">
        <v>5</v>
      </c>
      <c r="AH125" s="1">
        <v>1</v>
      </c>
      <c r="AI125" s="1">
        <v>0.39</v>
      </c>
      <c r="AJ125" s="7">
        <v>39.8</v>
      </c>
      <c r="AK125" s="7">
        <v>73</v>
      </c>
    </row>
    <row r="126" s="1" customFormat="1" spans="1:37">
      <c r="A126" s="1">
        <v>154</v>
      </c>
      <c r="B126" s="1">
        <v>2</v>
      </c>
      <c r="C126" s="1">
        <v>66</v>
      </c>
      <c r="D126" s="1">
        <v>2</v>
      </c>
      <c r="E126" s="1">
        <v>1</v>
      </c>
      <c r="F126" s="1">
        <v>158</v>
      </c>
      <c r="G126" s="1">
        <v>70</v>
      </c>
      <c r="H126" s="1">
        <f t="shared" si="1"/>
        <v>28.0403781445281</v>
      </c>
      <c r="I126" s="1">
        <v>1</v>
      </c>
      <c r="J126" s="1">
        <v>0</v>
      </c>
      <c r="K126" s="1">
        <v>0</v>
      </c>
      <c r="L126" s="1">
        <v>0</v>
      </c>
      <c r="M126" s="1">
        <v>1</v>
      </c>
      <c r="N126" s="1">
        <v>5</v>
      </c>
      <c r="O126" s="1">
        <v>60</v>
      </c>
      <c r="P126" s="1">
        <v>225</v>
      </c>
      <c r="Q126" s="1">
        <v>1500</v>
      </c>
      <c r="R126" s="1">
        <v>600</v>
      </c>
      <c r="S126" s="1">
        <v>600</v>
      </c>
      <c r="T126" s="1">
        <v>200</v>
      </c>
      <c r="U126" s="1">
        <v>0</v>
      </c>
      <c r="V126" s="1">
        <v>0</v>
      </c>
      <c r="W126" s="1">
        <v>0</v>
      </c>
      <c r="X126" s="1">
        <v>1</v>
      </c>
      <c r="Y126" s="1">
        <v>0</v>
      </c>
      <c r="Z126" s="1">
        <v>1</v>
      </c>
      <c r="AA126" s="1">
        <v>1</v>
      </c>
      <c r="AB126" s="1">
        <v>0</v>
      </c>
      <c r="AC126" s="1">
        <v>0</v>
      </c>
      <c r="AD126" s="1">
        <v>0</v>
      </c>
      <c r="AE126" s="1">
        <v>0</v>
      </c>
      <c r="AF126" s="1">
        <v>3</v>
      </c>
      <c r="AG126" s="1">
        <v>4</v>
      </c>
      <c r="AH126" s="1">
        <v>1</v>
      </c>
      <c r="AI126" s="9">
        <v>0.347</v>
      </c>
      <c r="AJ126" s="7">
        <v>37.6</v>
      </c>
      <c r="AK126" s="7">
        <v>67</v>
      </c>
    </row>
    <row r="127" s="1" customFormat="1" spans="1:37">
      <c r="A127" s="1">
        <v>157</v>
      </c>
      <c r="B127" s="1">
        <v>1</v>
      </c>
      <c r="C127" s="1">
        <v>82</v>
      </c>
      <c r="D127" s="1">
        <v>3</v>
      </c>
      <c r="E127" s="1">
        <v>2</v>
      </c>
      <c r="F127" s="1">
        <v>158</v>
      </c>
      <c r="G127" s="1">
        <v>56</v>
      </c>
      <c r="H127" s="1">
        <f t="shared" si="1"/>
        <v>22.4323025156225</v>
      </c>
      <c r="I127" s="1">
        <v>1</v>
      </c>
      <c r="J127" s="1">
        <v>1</v>
      </c>
      <c r="K127" s="1">
        <v>0</v>
      </c>
      <c r="L127" s="1">
        <v>0</v>
      </c>
      <c r="M127" s="1">
        <v>2</v>
      </c>
      <c r="N127" s="1">
        <v>3</v>
      </c>
      <c r="O127" s="1">
        <v>120</v>
      </c>
      <c r="P127" s="1">
        <v>228</v>
      </c>
      <c r="Q127" s="1">
        <v>1100</v>
      </c>
      <c r="R127" s="1">
        <v>300</v>
      </c>
      <c r="S127" s="1">
        <v>50</v>
      </c>
      <c r="T127" s="1">
        <v>0</v>
      </c>
      <c r="U127" s="1">
        <v>0</v>
      </c>
      <c r="V127" s="1">
        <v>400</v>
      </c>
      <c r="W127" s="1">
        <v>400</v>
      </c>
      <c r="X127" s="1">
        <v>0</v>
      </c>
      <c r="Y127" s="1">
        <v>1</v>
      </c>
      <c r="Z127" s="1">
        <v>1</v>
      </c>
      <c r="AA127" s="1">
        <v>1</v>
      </c>
      <c r="AB127" s="1">
        <v>0</v>
      </c>
      <c r="AC127" s="1">
        <v>0</v>
      </c>
      <c r="AD127" s="1">
        <v>0</v>
      </c>
      <c r="AE127" s="1">
        <v>1</v>
      </c>
      <c r="AF127" s="1">
        <v>1</v>
      </c>
      <c r="AG127" s="1">
        <v>18</v>
      </c>
      <c r="AH127" s="1">
        <v>1</v>
      </c>
      <c r="AI127" s="6">
        <v>0.386</v>
      </c>
      <c r="AJ127" s="7">
        <v>37</v>
      </c>
      <c r="AK127" s="7">
        <v>53</v>
      </c>
    </row>
    <row r="128" s="1" customFormat="1" spans="1:37">
      <c r="A128" s="1">
        <v>158</v>
      </c>
      <c r="B128" s="1">
        <v>2</v>
      </c>
      <c r="C128" s="1">
        <v>88</v>
      </c>
      <c r="D128" s="1">
        <v>2</v>
      </c>
      <c r="E128" s="1">
        <v>2</v>
      </c>
      <c r="F128" s="1">
        <v>165</v>
      </c>
      <c r="G128" s="1">
        <v>45</v>
      </c>
      <c r="H128" s="1">
        <f t="shared" si="1"/>
        <v>16.5289256198347</v>
      </c>
      <c r="I128" s="1">
        <v>0</v>
      </c>
      <c r="J128" s="1">
        <v>0</v>
      </c>
      <c r="K128" s="1">
        <v>0</v>
      </c>
      <c r="L128" s="1">
        <v>0</v>
      </c>
      <c r="M128" s="1">
        <v>2</v>
      </c>
      <c r="N128" s="1">
        <v>3</v>
      </c>
      <c r="O128" s="1">
        <v>60</v>
      </c>
      <c r="P128" s="1">
        <v>134</v>
      </c>
      <c r="Q128" s="1">
        <v>1300</v>
      </c>
      <c r="R128" s="1">
        <v>100</v>
      </c>
      <c r="S128" s="1">
        <v>200</v>
      </c>
      <c r="T128" s="1">
        <v>0</v>
      </c>
      <c r="U128" s="1">
        <v>0</v>
      </c>
      <c r="V128" s="1">
        <v>1000</v>
      </c>
      <c r="W128" s="1">
        <v>1000</v>
      </c>
      <c r="X128" s="1">
        <v>0</v>
      </c>
      <c r="Y128" s="1">
        <v>1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  <c r="AF128" s="1">
        <v>2</v>
      </c>
      <c r="AG128" s="1">
        <v>14</v>
      </c>
      <c r="AH128" s="1">
        <v>3</v>
      </c>
      <c r="AI128" s="6">
        <v>0.473</v>
      </c>
      <c r="AJ128" s="7">
        <v>39.1</v>
      </c>
      <c r="AK128" s="7">
        <v>207</v>
      </c>
    </row>
    <row r="129" s="1" customFormat="1" spans="1:37">
      <c r="A129" s="1">
        <v>159</v>
      </c>
      <c r="B129" s="1">
        <v>2</v>
      </c>
      <c r="C129" s="1">
        <v>86</v>
      </c>
      <c r="D129" s="1">
        <v>2</v>
      </c>
      <c r="E129" s="1">
        <v>2</v>
      </c>
      <c r="F129" s="1">
        <v>150</v>
      </c>
      <c r="G129" s="1">
        <v>51</v>
      </c>
      <c r="H129" s="1">
        <f t="shared" si="1"/>
        <v>22.6666666666667</v>
      </c>
      <c r="I129" s="1">
        <v>0</v>
      </c>
      <c r="J129" s="1">
        <v>0</v>
      </c>
      <c r="K129" s="1">
        <v>0</v>
      </c>
      <c r="L129" s="1">
        <v>0</v>
      </c>
      <c r="M129" s="1">
        <v>2</v>
      </c>
      <c r="N129" s="1">
        <v>3</v>
      </c>
      <c r="O129" s="1">
        <v>60</v>
      </c>
      <c r="P129" s="1">
        <v>150</v>
      </c>
      <c r="Q129" s="1">
        <v>1300</v>
      </c>
      <c r="R129" s="1">
        <v>15</v>
      </c>
      <c r="S129" s="1">
        <v>200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2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5</v>
      </c>
      <c r="AH129" s="1">
        <v>1</v>
      </c>
      <c r="AI129" s="6">
        <v>0.383</v>
      </c>
      <c r="AJ129" s="7">
        <v>36.4</v>
      </c>
      <c r="AK129" s="7">
        <v>52</v>
      </c>
    </row>
    <row r="130" s="1" customFormat="1" spans="1:37">
      <c r="A130" s="1">
        <v>160</v>
      </c>
      <c r="B130" s="1">
        <v>2</v>
      </c>
      <c r="C130" s="1">
        <v>77</v>
      </c>
      <c r="D130" s="1">
        <v>3</v>
      </c>
      <c r="E130" s="1">
        <v>2</v>
      </c>
      <c r="F130" s="1">
        <v>160</v>
      </c>
      <c r="G130" s="1">
        <v>60</v>
      </c>
      <c r="H130" s="1">
        <f t="shared" ref="H130:H193" si="2">G130/(F130/100)^2</f>
        <v>23.4375</v>
      </c>
      <c r="I130" s="1">
        <v>1</v>
      </c>
      <c r="J130" s="1">
        <v>1</v>
      </c>
      <c r="K130" s="1">
        <v>1</v>
      </c>
      <c r="L130" s="1">
        <v>1</v>
      </c>
      <c r="M130" s="1">
        <v>2</v>
      </c>
      <c r="N130" s="1">
        <v>4</v>
      </c>
      <c r="O130" s="1">
        <v>60</v>
      </c>
      <c r="P130" s="1">
        <v>128</v>
      </c>
      <c r="Q130" s="1">
        <v>1200</v>
      </c>
      <c r="R130" s="1">
        <v>50</v>
      </c>
      <c r="S130" s="1">
        <v>400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4</v>
      </c>
      <c r="AG130" s="1">
        <v>7</v>
      </c>
      <c r="AH130" s="1">
        <v>1</v>
      </c>
      <c r="AI130" s="6">
        <v>37.4</v>
      </c>
      <c r="AJ130" s="7">
        <v>45.2</v>
      </c>
      <c r="AK130" s="7">
        <v>116</v>
      </c>
    </row>
    <row r="131" s="1" customFormat="1" spans="1:37">
      <c r="A131" s="1">
        <v>161</v>
      </c>
      <c r="B131" s="1">
        <v>2</v>
      </c>
      <c r="C131" s="1">
        <v>74</v>
      </c>
      <c r="D131" s="1">
        <v>3</v>
      </c>
      <c r="E131" s="1">
        <v>2</v>
      </c>
      <c r="F131" s="1">
        <v>150</v>
      </c>
      <c r="G131" s="1">
        <v>76</v>
      </c>
      <c r="H131" s="1">
        <f t="shared" si="2"/>
        <v>33.7777777777778</v>
      </c>
      <c r="I131" s="1">
        <v>0</v>
      </c>
      <c r="J131" s="1">
        <v>1</v>
      </c>
      <c r="K131" s="1">
        <v>0</v>
      </c>
      <c r="L131" s="1">
        <v>0</v>
      </c>
      <c r="M131" s="1">
        <v>2</v>
      </c>
      <c r="N131" s="1">
        <v>4</v>
      </c>
      <c r="O131" s="1">
        <v>130</v>
      </c>
      <c r="P131" s="1">
        <v>237</v>
      </c>
      <c r="Q131" s="1">
        <v>1200</v>
      </c>
      <c r="R131" s="1">
        <v>150</v>
      </c>
      <c r="S131" s="1">
        <v>400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2</v>
      </c>
      <c r="AG131" s="1">
        <v>8</v>
      </c>
      <c r="AH131" s="1">
        <v>2</v>
      </c>
      <c r="AI131" s="6">
        <v>0.361</v>
      </c>
      <c r="AJ131" s="7">
        <v>29.9</v>
      </c>
      <c r="AK131" s="7">
        <v>39</v>
      </c>
    </row>
    <row r="132" s="1" customFormat="1" spans="1:37">
      <c r="A132" s="1">
        <v>162</v>
      </c>
      <c r="B132" s="1">
        <v>2</v>
      </c>
      <c r="C132" s="1">
        <v>80</v>
      </c>
      <c r="D132" s="1">
        <v>3</v>
      </c>
      <c r="E132" s="1">
        <v>2</v>
      </c>
      <c r="F132" s="1">
        <v>153</v>
      </c>
      <c r="G132" s="1">
        <v>65</v>
      </c>
      <c r="H132" s="1">
        <f t="shared" si="2"/>
        <v>27.7670981246529</v>
      </c>
      <c r="I132" s="1">
        <v>1</v>
      </c>
      <c r="J132" s="1">
        <v>0</v>
      </c>
      <c r="K132" s="1">
        <v>1</v>
      </c>
      <c r="L132" s="1">
        <v>0</v>
      </c>
      <c r="M132" s="1">
        <v>2</v>
      </c>
      <c r="N132" s="1">
        <v>4</v>
      </c>
      <c r="O132" s="1">
        <v>120</v>
      </c>
      <c r="P132" s="1">
        <v>195</v>
      </c>
      <c r="Q132" s="1">
        <v>700</v>
      </c>
      <c r="R132" s="1">
        <v>100</v>
      </c>
      <c r="S132" s="1">
        <v>120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4</v>
      </c>
      <c r="AG132" s="1">
        <v>8</v>
      </c>
      <c r="AH132" s="1">
        <v>1</v>
      </c>
      <c r="AI132" s="6">
        <v>0.405</v>
      </c>
      <c r="AJ132" s="7">
        <v>41.5</v>
      </c>
      <c r="AK132" s="7">
        <v>61</v>
      </c>
    </row>
    <row r="133" s="1" customFormat="1" spans="1:37">
      <c r="A133" s="1">
        <v>166</v>
      </c>
      <c r="B133" s="1">
        <v>2</v>
      </c>
      <c r="C133" s="1">
        <v>83</v>
      </c>
      <c r="D133" s="1">
        <v>2</v>
      </c>
      <c r="E133" s="1">
        <v>1</v>
      </c>
      <c r="F133" s="1">
        <v>158</v>
      </c>
      <c r="G133" s="1">
        <v>50</v>
      </c>
      <c r="H133" s="1">
        <f t="shared" si="2"/>
        <v>20.0288415318058</v>
      </c>
      <c r="I133" s="1">
        <v>1</v>
      </c>
      <c r="J133" s="1">
        <v>1</v>
      </c>
      <c r="K133" s="1">
        <v>0</v>
      </c>
      <c r="L133" s="1">
        <v>1</v>
      </c>
      <c r="M133" s="1">
        <v>4</v>
      </c>
      <c r="N133" s="1">
        <v>5</v>
      </c>
      <c r="O133" s="1">
        <v>180</v>
      </c>
      <c r="P133" s="1">
        <v>279</v>
      </c>
      <c r="Q133" s="1">
        <v>2200</v>
      </c>
      <c r="R133" s="1">
        <v>400</v>
      </c>
      <c r="S133" s="1">
        <v>600</v>
      </c>
      <c r="T133" s="1">
        <v>400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1</v>
      </c>
      <c r="AA133" s="1">
        <v>0</v>
      </c>
      <c r="AB133" s="1">
        <v>1</v>
      </c>
      <c r="AC133" s="1">
        <v>0</v>
      </c>
      <c r="AD133" s="1">
        <v>0</v>
      </c>
      <c r="AE133" s="1">
        <v>1</v>
      </c>
      <c r="AF133" s="1">
        <v>7</v>
      </c>
      <c r="AG133" s="1">
        <v>16</v>
      </c>
      <c r="AH133" s="1">
        <v>3</v>
      </c>
      <c r="AI133" s="6">
        <v>19.2</v>
      </c>
      <c r="AJ133" s="7">
        <v>29.4</v>
      </c>
      <c r="AK133" s="7">
        <v>222</v>
      </c>
    </row>
    <row r="134" s="1" customFormat="1" spans="1:37">
      <c r="A134" s="1">
        <v>167</v>
      </c>
      <c r="B134" s="1">
        <v>2</v>
      </c>
      <c r="C134" s="1">
        <v>75</v>
      </c>
      <c r="D134" s="1">
        <v>2</v>
      </c>
      <c r="E134" s="1">
        <v>2</v>
      </c>
      <c r="F134" s="1">
        <v>154</v>
      </c>
      <c r="G134" s="1">
        <v>63</v>
      </c>
      <c r="H134" s="1">
        <f t="shared" si="2"/>
        <v>26.5643447461629</v>
      </c>
      <c r="I134" s="1">
        <v>1</v>
      </c>
      <c r="J134" s="1">
        <v>0</v>
      </c>
      <c r="K134" s="1">
        <v>1</v>
      </c>
      <c r="L134" s="1">
        <v>0</v>
      </c>
      <c r="M134" s="1">
        <v>1</v>
      </c>
      <c r="N134" s="1">
        <v>2</v>
      </c>
      <c r="O134" s="1">
        <v>75</v>
      </c>
      <c r="P134" s="1">
        <v>110</v>
      </c>
      <c r="Q134" s="1">
        <v>700</v>
      </c>
      <c r="R134" s="1">
        <v>20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</v>
      </c>
      <c r="AD134" s="1">
        <v>0</v>
      </c>
      <c r="AE134" s="1">
        <v>0</v>
      </c>
      <c r="AF134" s="1">
        <v>3</v>
      </c>
      <c r="AG134" s="1">
        <v>7</v>
      </c>
      <c r="AH134" s="1">
        <v>1</v>
      </c>
      <c r="AI134" s="6">
        <v>0.382</v>
      </c>
      <c r="AJ134" s="7">
        <v>35.6</v>
      </c>
      <c r="AK134" s="7">
        <v>60</v>
      </c>
    </row>
    <row r="135" s="1" customFormat="1" spans="1:37">
      <c r="A135" s="1">
        <v>168</v>
      </c>
      <c r="B135" s="1">
        <v>1</v>
      </c>
      <c r="C135" s="1">
        <v>83</v>
      </c>
      <c r="D135" s="1">
        <v>2</v>
      </c>
      <c r="E135" s="1">
        <v>2</v>
      </c>
      <c r="F135" s="1">
        <v>168</v>
      </c>
      <c r="G135" s="1">
        <v>70</v>
      </c>
      <c r="H135" s="1">
        <f t="shared" si="2"/>
        <v>24.8015873015873</v>
      </c>
      <c r="I135" s="1">
        <v>1</v>
      </c>
      <c r="J135" s="1">
        <v>0</v>
      </c>
      <c r="K135" s="1">
        <v>0</v>
      </c>
      <c r="L135" s="1">
        <v>0</v>
      </c>
      <c r="M135" s="1">
        <v>3</v>
      </c>
      <c r="N135" s="1">
        <v>5</v>
      </c>
      <c r="O135" s="1">
        <v>160</v>
      </c>
      <c r="P135" s="1">
        <v>247</v>
      </c>
      <c r="Q135" s="1">
        <v>1400</v>
      </c>
      <c r="R135" s="1">
        <v>150</v>
      </c>
      <c r="S135" s="1">
        <v>500</v>
      </c>
      <c r="T135" s="1">
        <v>200</v>
      </c>
      <c r="U135" s="1">
        <v>400</v>
      </c>
      <c r="V135" s="1">
        <v>0</v>
      </c>
      <c r="W135" s="1">
        <v>0</v>
      </c>
      <c r="X135" s="1">
        <v>1</v>
      </c>
      <c r="Y135" s="1">
        <v>0</v>
      </c>
      <c r="Z135" s="1">
        <v>1</v>
      </c>
      <c r="AA135" s="1">
        <v>4</v>
      </c>
      <c r="AB135" s="1">
        <v>0</v>
      </c>
      <c r="AC135" s="1">
        <v>0</v>
      </c>
      <c r="AD135" s="1">
        <v>0</v>
      </c>
      <c r="AE135" s="1">
        <v>0</v>
      </c>
      <c r="AF135" s="1">
        <v>3</v>
      </c>
      <c r="AG135" s="1">
        <v>5</v>
      </c>
      <c r="AH135" s="1">
        <v>3</v>
      </c>
      <c r="AI135" s="6">
        <v>0.282</v>
      </c>
      <c r="AJ135" s="7">
        <v>31.9</v>
      </c>
      <c r="AK135" s="7">
        <v>77</v>
      </c>
    </row>
    <row r="136" s="1" customFormat="1" spans="1:37">
      <c r="A136" s="1">
        <v>170</v>
      </c>
      <c r="B136" s="1">
        <v>2</v>
      </c>
      <c r="C136" s="1">
        <v>85</v>
      </c>
      <c r="D136" s="1">
        <v>3</v>
      </c>
      <c r="E136" s="1">
        <v>2</v>
      </c>
      <c r="F136" s="1">
        <v>163</v>
      </c>
      <c r="G136" s="1">
        <v>55</v>
      </c>
      <c r="H136" s="1">
        <f t="shared" si="2"/>
        <v>20.7008167413151</v>
      </c>
      <c r="I136" s="1">
        <v>1</v>
      </c>
      <c r="J136" s="1">
        <v>0</v>
      </c>
      <c r="K136" s="1">
        <v>0</v>
      </c>
      <c r="L136" s="1">
        <v>0</v>
      </c>
      <c r="M136" s="1">
        <v>2</v>
      </c>
      <c r="N136" s="1">
        <v>4</v>
      </c>
      <c r="O136" s="1">
        <v>60</v>
      </c>
      <c r="P136" s="1">
        <v>104</v>
      </c>
      <c r="Q136" s="1">
        <v>1000</v>
      </c>
      <c r="R136" s="1">
        <v>50</v>
      </c>
      <c r="S136" s="1">
        <v>200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10</v>
      </c>
      <c r="AG136" s="1">
        <v>7</v>
      </c>
      <c r="AH136" s="1">
        <v>1</v>
      </c>
      <c r="AI136" s="6">
        <v>0.373</v>
      </c>
      <c r="AJ136" s="7">
        <v>35.5</v>
      </c>
      <c r="AK136" s="7">
        <v>44</v>
      </c>
    </row>
    <row r="137" s="1" customFormat="1" spans="1:37">
      <c r="A137" s="1">
        <v>171</v>
      </c>
      <c r="B137" s="1">
        <v>2</v>
      </c>
      <c r="C137" s="1">
        <v>86</v>
      </c>
      <c r="D137" s="1">
        <v>3</v>
      </c>
      <c r="E137" s="1">
        <v>2</v>
      </c>
      <c r="F137" s="1">
        <v>156</v>
      </c>
      <c r="G137" s="1">
        <v>50</v>
      </c>
      <c r="H137" s="1">
        <f t="shared" si="2"/>
        <v>20.5456936226167</v>
      </c>
      <c r="I137" s="1">
        <v>1</v>
      </c>
      <c r="J137" s="1">
        <v>0</v>
      </c>
      <c r="K137" s="1">
        <v>0</v>
      </c>
      <c r="L137" s="1">
        <v>0</v>
      </c>
      <c r="M137" s="1">
        <v>2</v>
      </c>
      <c r="N137" s="1">
        <v>4</v>
      </c>
      <c r="O137" s="1">
        <v>40</v>
      </c>
      <c r="P137" s="1">
        <v>109</v>
      </c>
      <c r="Q137" s="1">
        <v>600</v>
      </c>
      <c r="R137" s="1">
        <v>50</v>
      </c>
      <c r="S137" s="1">
        <v>100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>
        <v>6</v>
      </c>
      <c r="AG137" s="1">
        <v>7</v>
      </c>
      <c r="AH137" s="1">
        <v>3</v>
      </c>
      <c r="AI137" s="6">
        <v>0.307</v>
      </c>
      <c r="AJ137" s="7">
        <v>29.2</v>
      </c>
      <c r="AK137" s="7">
        <v>55</v>
      </c>
    </row>
    <row r="138" s="1" customFormat="1" spans="1:37">
      <c r="A138" s="1">
        <v>172</v>
      </c>
      <c r="B138" s="1">
        <v>2</v>
      </c>
      <c r="C138" s="1">
        <v>80</v>
      </c>
      <c r="D138" s="1">
        <v>2</v>
      </c>
      <c r="E138" s="1">
        <v>2</v>
      </c>
      <c r="F138" s="1">
        <v>165</v>
      </c>
      <c r="G138" s="1">
        <v>56</v>
      </c>
      <c r="H138" s="1">
        <f t="shared" si="2"/>
        <v>20.5693296602388</v>
      </c>
      <c r="I138" s="1">
        <v>1</v>
      </c>
      <c r="J138" s="1">
        <v>1</v>
      </c>
      <c r="K138" s="1">
        <v>0</v>
      </c>
      <c r="L138" s="1">
        <v>0</v>
      </c>
      <c r="M138" s="1">
        <v>1</v>
      </c>
      <c r="N138" s="1">
        <v>2</v>
      </c>
      <c r="O138" s="1">
        <v>60</v>
      </c>
      <c r="P138" s="1">
        <v>128</v>
      </c>
      <c r="Q138" s="1">
        <v>800</v>
      </c>
      <c r="R138" s="1">
        <v>0</v>
      </c>
      <c r="S138" s="1">
        <v>80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5</v>
      </c>
      <c r="AG138" s="1">
        <v>8</v>
      </c>
      <c r="AH138" s="1">
        <v>1</v>
      </c>
      <c r="AI138" s="6">
        <v>0.444</v>
      </c>
      <c r="AJ138" s="7">
        <v>38.3</v>
      </c>
      <c r="AK138" s="7">
        <v>55</v>
      </c>
    </row>
    <row r="139" s="1" customFormat="1" spans="1:37">
      <c r="A139" s="1">
        <v>173</v>
      </c>
      <c r="B139" s="1">
        <v>2</v>
      </c>
      <c r="C139" s="1">
        <v>77</v>
      </c>
      <c r="D139" s="1">
        <v>2</v>
      </c>
      <c r="E139" s="1">
        <v>2</v>
      </c>
      <c r="F139" s="1">
        <v>161</v>
      </c>
      <c r="G139" s="1">
        <v>65</v>
      </c>
      <c r="H139" s="1">
        <f t="shared" si="2"/>
        <v>25.0761930481077</v>
      </c>
      <c r="I139" s="1">
        <v>1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80</v>
      </c>
      <c r="P139" s="1">
        <v>174</v>
      </c>
      <c r="Q139" s="1">
        <v>1400</v>
      </c>
      <c r="R139" s="1">
        <v>200</v>
      </c>
      <c r="S139" s="1">
        <v>100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0</v>
      </c>
      <c r="AC139" s="1">
        <v>1</v>
      </c>
      <c r="AD139" s="1">
        <v>0</v>
      </c>
      <c r="AE139" s="1">
        <v>0</v>
      </c>
      <c r="AF139" s="1">
        <v>3</v>
      </c>
      <c r="AG139" s="1">
        <v>10</v>
      </c>
      <c r="AH139" s="1">
        <v>1</v>
      </c>
      <c r="AI139" s="6">
        <v>0.352</v>
      </c>
      <c r="AJ139" s="7">
        <v>39</v>
      </c>
      <c r="AK139" s="7">
        <v>70</v>
      </c>
    </row>
    <row r="140" s="1" customFormat="1" spans="1:37">
      <c r="A140" s="1">
        <v>175</v>
      </c>
      <c r="B140" s="1">
        <v>2</v>
      </c>
      <c r="C140" s="1">
        <v>81</v>
      </c>
      <c r="D140" s="1">
        <v>2</v>
      </c>
      <c r="E140" s="1">
        <v>2</v>
      </c>
      <c r="F140" s="1">
        <v>159</v>
      </c>
      <c r="G140" s="1">
        <v>63</v>
      </c>
      <c r="H140" s="1">
        <f t="shared" si="2"/>
        <v>24.9199003203987</v>
      </c>
      <c r="I140" s="1">
        <v>0</v>
      </c>
      <c r="J140" s="1">
        <v>0</v>
      </c>
      <c r="K140" s="1">
        <v>0</v>
      </c>
      <c r="L140" s="1">
        <v>0</v>
      </c>
      <c r="M140" s="1">
        <v>2</v>
      </c>
      <c r="N140" s="1">
        <v>4</v>
      </c>
      <c r="O140" s="1">
        <v>180</v>
      </c>
      <c r="P140" s="1">
        <v>249</v>
      </c>
      <c r="Q140" s="1">
        <v>1200</v>
      </c>
      <c r="R140" s="1">
        <v>50</v>
      </c>
      <c r="S140" s="1">
        <v>0</v>
      </c>
      <c r="T140" s="1">
        <v>0</v>
      </c>
      <c r="U140" s="1">
        <v>0</v>
      </c>
      <c r="V140" s="1">
        <v>400</v>
      </c>
      <c r="W140" s="1">
        <v>400</v>
      </c>
      <c r="X140" s="1">
        <v>0</v>
      </c>
      <c r="Y140" s="1">
        <v>1</v>
      </c>
      <c r="Z140" s="1">
        <v>1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3</v>
      </c>
      <c r="AG140" s="1">
        <v>5</v>
      </c>
      <c r="AH140" s="1">
        <v>2</v>
      </c>
      <c r="AI140" s="6">
        <v>0.297</v>
      </c>
      <c r="AJ140" s="7">
        <v>34</v>
      </c>
      <c r="AK140" s="7">
        <v>67</v>
      </c>
    </row>
    <row r="141" s="1" customFormat="1" spans="1:37">
      <c r="A141" s="1">
        <v>177</v>
      </c>
      <c r="B141" s="1">
        <v>2</v>
      </c>
      <c r="C141" s="1">
        <v>76</v>
      </c>
      <c r="D141" s="1">
        <v>2</v>
      </c>
      <c r="E141" s="1">
        <v>2</v>
      </c>
      <c r="F141" s="1">
        <v>150</v>
      </c>
      <c r="G141" s="1">
        <v>56</v>
      </c>
      <c r="H141" s="1">
        <f t="shared" si="2"/>
        <v>24.8888888888889</v>
      </c>
      <c r="I141" s="1">
        <v>1</v>
      </c>
      <c r="J141" s="1">
        <v>1</v>
      </c>
      <c r="K141" s="1">
        <v>1</v>
      </c>
      <c r="L141" s="1">
        <v>0</v>
      </c>
      <c r="M141" s="1">
        <v>2</v>
      </c>
      <c r="N141" s="1">
        <v>4</v>
      </c>
      <c r="O141" s="1">
        <v>50</v>
      </c>
      <c r="P141" s="1">
        <v>142</v>
      </c>
      <c r="Q141" s="1">
        <v>600</v>
      </c>
      <c r="R141" s="1">
        <v>50</v>
      </c>
      <c r="S141" s="1">
        <v>100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2</v>
      </c>
      <c r="AG141" s="1">
        <v>12</v>
      </c>
      <c r="AH141" s="1">
        <v>2</v>
      </c>
      <c r="AI141" s="6">
        <v>0.273</v>
      </c>
      <c r="AJ141" s="7">
        <v>39</v>
      </c>
      <c r="AK141" s="7">
        <v>94</v>
      </c>
    </row>
    <row r="142" s="1" customFormat="1" spans="1:37">
      <c r="A142" s="1">
        <v>178</v>
      </c>
      <c r="B142" s="1">
        <v>2</v>
      </c>
      <c r="C142" s="1">
        <v>86</v>
      </c>
      <c r="D142" s="1">
        <v>3</v>
      </c>
      <c r="E142" s="1">
        <v>1</v>
      </c>
      <c r="F142" s="1">
        <v>150</v>
      </c>
      <c r="G142" s="1">
        <v>60</v>
      </c>
      <c r="H142" s="1">
        <f t="shared" si="2"/>
        <v>26.6666666666667</v>
      </c>
      <c r="I142" s="1">
        <v>1</v>
      </c>
      <c r="J142" s="1">
        <v>0</v>
      </c>
      <c r="K142" s="1">
        <v>0</v>
      </c>
      <c r="L142" s="1">
        <v>1</v>
      </c>
      <c r="M142" s="8">
        <v>4</v>
      </c>
      <c r="N142" s="1">
        <v>5</v>
      </c>
      <c r="O142" s="1">
        <v>180</v>
      </c>
      <c r="P142" s="1">
        <v>245</v>
      </c>
      <c r="Q142" s="1">
        <v>1100</v>
      </c>
      <c r="R142" s="1">
        <v>300</v>
      </c>
      <c r="S142" s="1">
        <v>300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</v>
      </c>
      <c r="AC142" s="1">
        <v>0</v>
      </c>
      <c r="AD142" s="1">
        <v>0</v>
      </c>
      <c r="AE142" s="1">
        <v>1</v>
      </c>
      <c r="AF142" s="1">
        <v>3</v>
      </c>
      <c r="AG142" s="1">
        <v>17</v>
      </c>
      <c r="AH142" s="1">
        <v>3</v>
      </c>
      <c r="AI142" s="6">
        <v>0.33</v>
      </c>
      <c r="AJ142" s="7">
        <v>33.5</v>
      </c>
      <c r="AK142" s="7">
        <v>87</v>
      </c>
    </row>
    <row r="143" s="1" customFormat="1" spans="1:37">
      <c r="A143" s="1">
        <v>180</v>
      </c>
      <c r="B143" s="1">
        <v>2</v>
      </c>
      <c r="C143" s="1">
        <v>80</v>
      </c>
      <c r="D143" s="1">
        <v>2</v>
      </c>
      <c r="E143" s="1">
        <v>2</v>
      </c>
      <c r="F143" s="1">
        <v>160</v>
      </c>
      <c r="G143" s="1">
        <v>80</v>
      </c>
      <c r="H143" s="1">
        <f t="shared" si="2"/>
        <v>31.25</v>
      </c>
      <c r="I143" s="1">
        <v>1</v>
      </c>
      <c r="J143" s="1">
        <v>0</v>
      </c>
      <c r="K143" s="8">
        <v>0</v>
      </c>
      <c r="L143" s="1">
        <v>0</v>
      </c>
      <c r="M143" s="1">
        <v>21</v>
      </c>
      <c r="N143" s="1">
        <v>5</v>
      </c>
      <c r="O143" s="1">
        <v>240</v>
      </c>
      <c r="P143" s="1">
        <v>294</v>
      </c>
      <c r="Q143" s="1">
        <v>1500</v>
      </c>
      <c r="R143" s="1">
        <v>400</v>
      </c>
      <c r="S143" s="1">
        <v>800</v>
      </c>
      <c r="T143" s="1">
        <v>200</v>
      </c>
      <c r="U143" s="1">
        <v>0</v>
      </c>
      <c r="V143" s="1">
        <v>0</v>
      </c>
      <c r="W143" s="1">
        <v>0</v>
      </c>
      <c r="X143" s="1">
        <v>1</v>
      </c>
      <c r="Y143" s="1">
        <v>0</v>
      </c>
      <c r="Z143" s="1">
        <v>1</v>
      </c>
      <c r="AA143" s="1">
        <v>1</v>
      </c>
      <c r="AB143" s="1">
        <v>0</v>
      </c>
      <c r="AC143" s="1">
        <v>0</v>
      </c>
      <c r="AD143" s="1">
        <v>0</v>
      </c>
      <c r="AE143" s="1">
        <v>0</v>
      </c>
      <c r="AF143" s="1">
        <v>10</v>
      </c>
      <c r="AG143" s="1">
        <v>10</v>
      </c>
      <c r="AH143" s="1">
        <v>3</v>
      </c>
      <c r="AI143" s="6">
        <v>0.265</v>
      </c>
      <c r="AJ143" s="7">
        <v>29.4</v>
      </c>
      <c r="AK143" s="7">
        <v>82</v>
      </c>
    </row>
    <row r="144" s="1" customFormat="1" spans="1:37">
      <c r="A144" s="1">
        <v>181</v>
      </c>
      <c r="B144" s="1">
        <v>1</v>
      </c>
      <c r="C144" s="1">
        <v>76</v>
      </c>
      <c r="D144" s="1">
        <v>2</v>
      </c>
      <c r="E144" s="1">
        <v>2</v>
      </c>
      <c r="F144" s="1">
        <v>165</v>
      </c>
      <c r="G144" s="1">
        <v>60</v>
      </c>
      <c r="H144" s="1">
        <f t="shared" si="2"/>
        <v>22.038567493113</v>
      </c>
      <c r="I144" s="1">
        <v>1</v>
      </c>
      <c r="J144" s="1">
        <v>0</v>
      </c>
      <c r="K144" s="1">
        <v>0</v>
      </c>
      <c r="L144" s="1">
        <v>0</v>
      </c>
      <c r="M144" s="1">
        <v>1</v>
      </c>
      <c r="N144" s="1">
        <v>2</v>
      </c>
      <c r="O144" s="1">
        <v>100</v>
      </c>
      <c r="P144" s="1">
        <v>168</v>
      </c>
      <c r="Q144" s="1">
        <v>1200</v>
      </c>
      <c r="R144" s="1">
        <v>100</v>
      </c>
      <c r="S144" s="1">
        <v>600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2</v>
      </c>
      <c r="AG144" s="1">
        <v>5</v>
      </c>
      <c r="AH144" s="1">
        <v>1</v>
      </c>
      <c r="AI144" s="6">
        <v>0.417</v>
      </c>
      <c r="AJ144" s="7">
        <v>35.8</v>
      </c>
      <c r="AK144" s="7">
        <v>76</v>
      </c>
    </row>
    <row r="145" s="1" customFormat="1" spans="1:37">
      <c r="A145" s="1">
        <v>182</v>
      </c>
      <c r="B145" s="1">
        <v>2</v>
      </c>
      <c r="C145" s="1">
        <v>65</v>
      </c>
      <c r="D145" s="1">
        <v>1</v>
      </c>
      <c r="E145" s="1">
        <v>2</v>
      </c>
      <c r="F145" s="1">
        <v>157</v>
      </c>
      <c r="G145" s="1">
        <v>61</v>
      </c>
      <c r="H145" s="1">
        <f t="shared" si="2"/>
        <v>24.7474542577792</v>
      </c>
      <c r="I145" s="1">
        <v>1</v>
      </c>
      <c r="J145" s="1">
        <v>1</v>
      </c>
      <c r="K145" s="1">
        <v>0</v>
      </c>
      <c r="L145" s="1">
        <v>0</v>
      </c>
      <c r="M145" s="1">
        <v>4</v>
      </c>
      <c r="N145" s="1">
        <v>5</v>
      </c>
      <c r="O145" s="1">
        <v>210</v>
      </c>
      <c r="P145" s="1">
        <v>240</v>
      </c>
      <c r="Q145" s="1">
        <v>1100</v>
      </c>
      <c r="R145" s="1">
        <v>20</v>
      </c>
      <c r="S145" s="1">
        <v>800</v>
      </c>
      <c r="T145" s="1">
        <v>0</v>
      </c>
      <c r="U145" s="1">
        <v>0</v>
      </c>
      <c r="V145" s="1">
        <v>400</v>
      </c>
      <c r="W145" s="1">
        <v>400</v>
      </c>
      <c r="X145" s="1">
        <v>0</v>
      </c>
      <c r="Y145" s="1">
        <v>1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4</v>
      </c>
      <c r="AG145" s="1">
        <v>6</v>
      </c>
      <c r="AH145" s="1">
        <v>0</v>
      </c>
      <c r="AI145" s="6">
        <v>0.397</v>
      </c>
      <c r="AJ145" s="7">
        <v>43.3</v>
      </c>
      <c r="AK145" s="7">
        <v>49</v>
      </c>
    </row>
    <row r="146" s="1" customFormat="1" spans="1:37">
      <c r="A146" s="1">
        <v>183</v>
      </c>
      <c r="B146" s="1">
        <v>2</v>
      </c>
      <c r="C146" s="1">
        <v>91</v>
      </c>
      <c r="D146" s="1">
        <v>2</v>
      </c>
      <c r="E146" s="1">
        <v>2</v>
      </c>
      <c r="F146" s="1">
        <v>150</v>
      </c>
      <c r="G146" s="1">
        <v>40</v>
      </c>
      <c r="H146" s="1">
        <f t="shared" si="2"/>
        <v>17.7777777777778</v>
      </c>
      <c r="I146" s="1">
        <v>1</v>
      </c>
      <c r="J146" s="1">
        <v>0</v>
      </c>
      <c r="K146" s="1">
        <v>0</v>
      </c>
      <c r="L146" s="1">
        <v>0</v>
      </c>
      <c r="M146" s="1">
        <v>3</v>
      </c>
      <c r="N146" s="1">
        <v>4</v>
      </c>
      <c r="O146" s="1">
        <v>120</v>
      </c>
      <c r="P146" s="1">
        <v>208</v>
      </c>
      <c r="Q146" s="1">
        <v>1100</v>
      </c>
      <c r="R146" s="1">
        <v>300</v>
      </c>
      <c r="S146" s="1">
        <v>200</v>
      </c>
      <c r="T146" s="1">
        <v>0</v>
      </c>
      <c r="U146" s="1">
        <v>0</v>
      </c>
      <c r="V146" s="1">
        <v>600</v>
      </c>
      <c r="W146" s="1">
        <v>200</v>
      </c>
      <c r="X146" s="1">
        <v>0</v>
      </c>
      <c r="Y146" s="1">
        <v>1</v>
      </c>
      <c r="Z146" s="1">
        <v>1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6</v>
      </c>
      <c r="AH146" s="1">
        <v>3</v>
      </c>
      <c r="AI146" s="6">
        <v>0.293</v>
      </c>
      <c r="AJ146" s="7">
        <v>37.1</v>
      </c>
      <c r="AK146" s="7">
        <v>84</v>
      </c>
    </row>
    <row r="147" s="1" customFormat="1" spans="1:37">
      <c r="A147" s="1">
        <v>184</v>
      </c>
      <c r="B147" s="1">
        <v>2</v>
      </c>
      <c r="C147" s="1">
        <v>89</v>
      </c>
      <c r="D147" s="1">
        <v>3</v>
      </c>
      <c r="E147" s="1">
        <v>1</v>
      </c>
      <c r="F147" s="1">
        <v>155</v>
      </c>
      <c r="G147" s="1">
        <v>44</v>
      </c>
      <c r="H147" s="1">
        <f t="shared" si="2"/>
        <v>18.3142559833507</v>
      </c>
      <c r="I147" s="1">
        <v>1</v>
      </c>
      <c r="J147" s="1">
        <v>0</v>
      </c>
      <c r="K147" s="1">
        <v>1</v>
      </c>
      <c r="L147" s="1">
        <v>0</v>
      </c>
      <c r="M147" s="1">
        <v>2</v>
      </c>
      <c r="N147" s="1">
        <v>3</v>
      </c>
      <c r="O147" s="1">
        <v>60</v>
      </c>
      <c r="P147" s="1">
        <v>175</v>
      </c>
      <c r="Q147" s="1">
        <v>800</v>
      </c>
      <c r="R147" s="1">
        <v>50</v>
      </c>
      <c r="S147" s="1">
        <v>100</v>
      </c>
      <c r="T147" s="1">
        <v>200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1</v>
      </c>
      <c r="AA147" s="1">
        <v>0</v>
      </c>
      <c r="AB147" s="1">
        <v>1</v>
      </c>
      <c r="AC147" s="1">
        <v>0</v>
      </c>
      <c r="AD147" s="1">
        <v>1</v>
      </c>
      <c r="AE147" s="1">
        <v>0</v>
      </c>
      <c r="AF147" s="1">
        <v>4</v>
      </c>
      <c r="AG147" s="1">
        <v>13</v>
      </c>
      <c r="AH147" s="1">
        <v>4</v>
      </c>
      <c r="AI147" s="6">
        <v>0.336</v>
      </c>
      <c r="AJ147" s="7">
        <v>31.4</v>
      </c>
      <c r="AK147" s="7">
        <v>63</v>
      </c>
    </row>
    <row r="148" s="1" customFormat="1" spans="1:37">
      <c r="A148" s="1">
        <v>186</v>
      </c>
      <c r="B148" s="1">
        <v>2</v>
      </c>
      <c r="C148" s="1">
        <v>86</v>
      </c>
      <c r="D148" s="1">
        <v>3</v>
      </c>
      <c r="E148" s="1">
        <v>2</v>
      </c>
      <c r="F148" s="1">
        <v>160</v>
      </c>
      <c r="G148" s="1">
        <v>65</v>
      </c>
      <c r="H148" s="1">
        <f t="shared" si="2"/>
        <v>25.390625</v>
      </c>
      <c r="I148" s="1">
        <v>0</v>
      </c>
      <c r="J148" s="1">
        <v>0</v>
      </c>
      <c r="K148" s="1">
        <v>1</v>
      </c>
      <c r="L148" s="1">
        <v>0</v>
      </c>
      <c r="M148" s="1">
        <v>2</v>
      </c>
      <c r="N148" s="1">
        <v>4</v>
      </c>
      <c r="O148" s="1">
        <v>70</v>
      </c>
      <c r="P148" s="1">
        <v>125</v>
      </c>
      <c r="Q148" s="1">
        <v>700</v>
      </c>
      <c r="R148" s="1">
        <v>100</v>
      </c>
      <c r="S148" s="1">
        <v>75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1</v>
      </c>
      <c r="AB148" s="1">
        <v>0</v>
      </c>
      <c r="AC148" s="1">
        <v>0</v>
      </c>
      <c r="AD148" s="1">
        <v>0</v>
      </c>
      <c r="AE148" s="1">
        <v>0</v>
      </c>
      <c r="AF148" s="1">
        <v>4</v>
      </c>
      <c r="AG148" s="1">
        <v>13</v>
      </c>
      <c r="AH148" s="1">
        <v>3</v>
      </c>
      <c r="AI148" s="6">
        <v>0.269</v>
      </c>
      <c r="AJ148" s="7">
        <v>31</v>
      </c>
      <c r="AK148" s="7">
        <v>74</v>
      </c>
    </row>
    <row r="149" s="1" customFormat="1" spans="1:37">
      <c r="A149" s="1">
        <v>189</v>
      </c>
      <c r="B149" s="1">
        <v>2</v>
      </c>
      <c r="C149" s="1">
        <v>72</v>
      </c>
      <c r="D149" s="1">
        <v>2</v>
      </c>
      <c r="E149" s="1">
        <v>2</v>
      </c>
      <c r="F149" s="1">
        <v>162</v>
      </c>
      <c r="G149" s="1">
        <v>85</v>
      </c>
      <c r="H149" s="1">
        <f t="shared" si="2"/>
        <v>32.3883554336229</v>
      </c>
      <c r="I149" s="1">
        <v>1</v>
      </c>
      <c r="J149" s="1">
        <v>0</v>
      </c>
      <c r="K149" s="1">
        <v>0</v>
      </c>
      <c r="L149" s="1">
        <v>1</v>
      </c>
      <c r="M149" s="1">
        <v>1</v>
      </c>
      <c r="N149" s="1">
        <v>5</v>
      </c>
      <c r="O149" s="1">
        <v>160</v>
      </c>
      <c r="P149" s="1">
        <v>283</v>
      </c>
      <c r="Q149" s="1">
        <v>1800</v>
      </c>
      <c r="R149" s="1">
        <v>200</v>
      </c>
      <c r="S149" s="1">
        <v>1000</v>
      </c>
      <c r="T149" s="1">
        <v>200</v>
      </c>
      <c r="U149" s="1">
        <v>400</v>
      </c>
      <c r="V149" s="1">
        <v>0</v>
      </c>
      <c r="W149" s="1">
        <v>0</v>
      </c>
      <c r="X149" s="1">
        <v>1</v>
      </c>
      <c r="Y149" s="1">
        <v>0</v>
      </c>
      <c r="Z149" s="1">
        <v>1</v>
      </c>
      <c r="AA149" s="1">
        <v>1</v>
      </c>
      <c r="AB149" s="1">
        <v>0</v>
      </c>
      <c r="AC149" s="1">
        <v>0</v>
      </c>
      <c r="AD149" s="1">
        <v>0</v>
      </c>
      <c r="AE149" s="1">
        <v>0</v>
      </c>
      <c r="AF149" s="1">
        <v>13</v>
      </c>
      <c r="AG149" s="1">
        <v>13</v>
      </c>
      <c r="AH149" s="1">
        <v>3</v>
      </c>
      <c r="AI149" s="6">
        <v>0.253</v>
      </c>
      <c r="AJ149" s="7">
        <v>27.6</v>
      </c>
      <c r="AK149" s="7">
        <v>45</v>
      </c>
    </row>
    <row r="150" s="1" customFormat="1" spans="1:37">
      <c r="A150" s="1">
        <v>190</v>
      </c>
      <c r="B150" s="1">
        <v>1</v>
      </c>
      <c r="C150" s="1">
        <v>97</v>
      </c>
      <c r="D150" s="1">
        <v>3</v>
      </c>
      <c r="E150" s="1">
        <v>2</v>
      </c>
      <c r="F150" s="1">
        <v>170</v>
      </c>
      <c r="G150" s="1">
        <v>47</v>
      </c>
      <c r="H150" s="1">
        <f t="shared" si="2"/>
        <v>16.2629757785467</v>
      </c>
      <c r="I150" s="1">
        <v>1</v>
      </c>
      <c r="J150" s="1">
        <v>0</v>
      </c>
      <c r="K150" s="1">
        <v>0</v>
      </c>
      <c r="L150" s="1">
        <v>0</v>
      </c>
      <c r="M150" s="1">
        <v>2</v>
      </c>
      <c r="N150" s="1">
        <v>5</v>
      </c>
      <c r="O150" s="1">
        <v>70</v>
      </c>
      <c r="P150" s="1">
        <v>158</v>
      </c>
      <c r="Q150" s="1">
        <v>350</v>
      </c>
      <c r="R150" s="1">
        <v>100</v>
      </c>
      <c r="S150" s="1">
        <v>0</v>
      </c>
      <c r="T150" s="1">
        <v>200</v>
      </c>
      <c r="U150" s="1">
        <v>0</v>
      </c>
      <c r="V150" s="1">
        <v>0</v>
      </c>
      <c r="W150" s="1">
        <v>0</v>
      </c>
      <c r="X150" s="1">
        <v>1</v>
      </c>
      <c r="Y150" s="1">
        <v>0</v>
      </c>
      <c r="Z150" s="1">
        <v>1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3</v>
      </c>
      <c r="AG150" s="1">
        <v>9</v>
      </c>
      <c r="AH150" s="1">
        <v>4</v>
      </c>
      <c r="AI150" s="6">
        <v>0.25</v>
      </c>
      <c r="AJ150" s="7">
        <v>30.9</v>
      </c>
      <c r="AK150" s="7">
        <v>137</v>
      </c>
    </row>
    <row r="151" s="1" customFormat="1" spans="1:37">
      <c r="A151" s="1">
        <v>191</v>
      </c>
      <c r="B151" s="1">
        <v>1</v>
      </c>
      <c r="C151" s="1">
        <v>68</v>
      </c>
      <c r="D151" s="1">
        <v>3</v>
      </c>
      <c r="E151" s="1">
        <v>1</v>
      </c>
      <c r="F151" s="1">
        <v>170</v>
      </c>
      <c r="G151" s="1">
        <v>65</v>
      </c>
      <c r="H151" s="1">
        <f t="shared" si="2"/>
        <v>22.4913494809689</v>
      </c>
      <c r="I151" s="1">
        <v>0</v>
      </c>
      <c r="J151" s="1">
        <v>0</v>
      </c>
      <c r="K151" s="1">
        <v>1</v>
      </c>
      <c r="L151" s="1">
        <v>1</v>
      </c>
      <c r="M151" s="1">
        <v>1</v>
      </c>
      <c r="N151" s="1">
        <v>2</v>
      </c>
      <c r="O151" s="1">
        <v>60</v>
      </c>
      <c r="P151" s="1">
        <v>155</v>
      </c>
      <c r="Q151" s="1">
        <v>1000</v>
      </c>
      <c r="R151" s="1">
        <v>50</v>
      </c>
      <c r="S151" s="1">
        <v>350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1</v>
      </c>
      <c r="AC151" s="1">
        <v>1</v>
      </c>
      <c r="AD151" s="1">
        <v>0</v>
      </c>
      <c r="AE151" s="1">
        <v>1</v>
      </c>
      <c r="AF151" s="1">
        <v>3</v>
      </c>
      <c r="AG151" s="1">
        <v>18</v>
      </c>
      <c r="AH151" s="1">
        <v>0</v>
      </c>
      <c r="AI151" s="9">
        <v>0.361</v>
      </c>
      <c r="AJ151" s="7">
        <v>35.3</v>
      </c>
      <c r="AK151" s="7">
        <v>66</v>
      </c>
    </row>
    <row r="152" s="1" customFormat="1" spans="1:37">
      <c r="A152" s="1">
        <v>192</v>
      </c>
      <c r="B152" s="1">
        <v>2</v>
      </c>
      <c r="C152" s="1">
        <v>78</v>
      </c>
      <c r="D152" s="1">
        <v>2</v>
      </c>
      <c r="E152" s="1">
        <v>1</v>
      </c>
      <c r="F152" s="1">
        <v>149</v>
      </c>
      <c r="G152" s="1">
        <v>35</v>
      </c>
      <c r="H152" s="1">
        <f t="shared" si="2"/>
        <v>15.7650556281249</v>
      </c>
      <c r="I152" s="1">
        <v>0</v>
      </c>
      <c r="J152" s="1">
        <v>0</v>
      </c>
      <c r="K152" s="1">
        <v>0</v>
      </c>
      <c r="L152" s="1">
        <v>0</v>
      </c>
      <c r="M152" s="1">
        <v>4</v>
      </c>
      <c r="N152" s="1">
        <v>5</v>
      </c>
      <c r="O152" s="1">
        <v>130</v>
      </c>
      <c r="P152" s="1">
        <v>194</v>
      </c>
      <c r="Q152" s="1">
        <v>1300</v>
      </c>
      <c r="R152" s="1">
        <v>250</v>
      </c>
      <c r="S152" s="1">
        <v>700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0</v>
      </c>
      <c r="AC152" s="1">
        <v>0</v>
      </c>
      <c r="AD152" s="1">
        <v>0</v>
      </c>
      <c r="AE152" s="1">
        <v>0</v>
      </c>
      <c r="AF152" s="1">
        <v>5</v>
      </c>
      <c r="AG152" s="1">
        <v>14</v>
      </c>
      <c r="AH152" s="1">
        <v>3</v>
      </c>
      <c r="AI152" s="6">
        <v>0.295</v>
      </c>
      <c r="AJ152" s="7">
        <v>41.8</v>
      </c>
      <c r="AK152" s="7">
        <v>42</v>
      </c>
    </row>
    <row r="153" s="1" customFormat="1" spans="1:37">
      <c r="A153" s="1">
        <v>193</v>
      </c>
      <c r="B153" s="1">
        <v>2</v>
      </c>
      <c r="C153" s="1">
        <v>79</v>
      </c>
      <c r="D153" s="1">
        <v>2</v>
      </c>
      <c r="E153" s="1">
        <v>2</v>
      </c>
      <c r="F153" s="1">
        <v>156</v>
      </c>
      <c r="G153" s="1">
        <v>55</v>
      </c>
      <c r="H153" s="1">
        <f t="shared" si="2"/>
        <v>22.6002629848784</v>
      </c>
      <c r="I153" s="1">
        <v>0</v>
      </c>
      <c r="J153" s="1">
        <v>1</v>
      </c>
      <c r="K153" s="1">
        <v>0</v>
      </c>
      <c r="L153" s="1">
        <v>0</v>
      </c>
      <c r="M153" s="1">
        <v>1</v>
      </c>
      <c r="N153" s="1">
        <v>2</v>
      </c>
      <c r="O153" s="1">
        <v>60</v>
      </c>
      <c r="P153" s="1">
        <v>116</v>
      </c>
      <c r="Q153" s="1">
        <v>450</v>
      </c>
      <c r="R153" s="1">
        <v>100</v>
      </c>
      <c r="S153" s="1">
        <v>100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4</v>
      </c>
      <c r="AG153" s="1">
        <v>6</v>
      </c>
      <c r="AH153" s="1">
        <v>2</v>
      </c>
      <c r="AI153" s="1">
        <v>0.325</v>
      </c>
      <c r="AJ153" s="7">
        <v>43.6</v>
      </c>
      <c r="AK153" s="7">
        <v>66</v>
      </c>
    </row>
    <row r="154" s="1" customFormat="1" spans="1:37">
      <c r="A154" s="1">
        <v>194</v>
      </c>
      <c r="B154" s="1">
        <v>2</v>
      </c>
      <c r="C154" s="1">
        <v>75</v>
      </c>
      <c r="D154" s="1">
        <v>2</v>
      </c>
      <c r="E154" s="1">
        <v>2</v>
      </c>
      <c r="F154" s="1">
        <v>160</v>
      </c>
      <c r="G154" s="1">
        <v>60</v>
      </c>
      <c r="H154" s="1">
        <f t="shared" si="2"/>
        <v>23.4375</v>
      </c>
      <c r="I154" s="1">
        <v>1</v>
      </c>
      <c r="J154" s="1">
        <v>0</v>
      </c>
      <c r="K154" s="1">
        <v>0</v>
      </c>
      <c r="L154" s="1">
        <v>0</v>
      </c>
      <c r="M154" s="8">
        <v>4</v>
      </c>
      <c r="N154" s="1">
        <v>5</v>
      </c>
      <c r="O154" s="1">
        <v>130</v>
      </c>
      <c r="P154" s="1">
        <v>199</v>
      </c>
      <c r="Q154" s="1">
        <v>950</v>
      </c>
      <c r="R154" s="1">
        <v>150</v>
      </c>
      <c r="S154" s="1">
        <v>300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5</v>
      </c>
      <c r="AG154" s="1">
        <v>14</v>
      </c>
      <c r="AH154" s="1">
        <v>1</v>
      </c>
      <c r="AI154" s="1">
        <v>0.401</v>
      </c>
      <c r="AJ154" s="7">
        <v>43.7</v>
      </c>
      <c r="AK154" s="7">
        <v>52</v>
      </c>
    </row>
    <row r="155" s="1" customFormat="1" spans="1:37">
      <c r="A155" s="1">
        <v>195</v>
      </c>
      <c r="B155" s="1">
        <v>2</v>
      </c>
      <c r="C155" s="1">
        <v>68</v>
      </c>
      <c r="D155" s="1">
        <v>2</v>
      </c>
      <c r="E155" s="1">
        <v>2</v>
      </c>
      <c r="F155" s="1">
        <v>157</v>
      </c>
      <c r="G155" s="1">
        <v>60</v>
      </c>
      <c r="H155" s="1">
        <f t="shared" si="2"/>
        <v>24.3417582863402</v>
      </c>
      <c r="I155" s="1">
        <v>1</v>
      </c>
      <c r="J155" s="1">
        <v>1</v>
      </c>
      <c r="K155" s="1">
        <v>0</v>
      </c>
      <c r="L155" s="1">
        <v>0</v>
      </c>
      <c r="M155" s="1">
        <v>4</v>
      </c>
      <c r="N155" s="1">
        <v>5</v>
      </c>
      <c r="O155" s="1">
        <v>60</v>
      </c>
      <c r="P155" s="1">
        <v>305</v>
      </c>
      <c r="Q155" s="1">
        <v>550</v>
      </c>
      <c r="R155" s="1">
        <v>200</v>
      </c>
      <c r="S155" s="1">
        <v>1000</v>
      </c>
      <c r="T155" s="1">
        <v>0</v>
      </c>
      <c r="U155" s="1">
        <v>0</v>
      </c>
      <c r="V155" s="1">
        <v>200</v>
      </c>
      <c r="W155" s="1">
        <v>200</v>
      </c>
      <c r="X155" s="1">
        <v>0</v>
      </c>
      <c r="Y155" s="1">
        <v>1</v>
      </c>
      <c r="Z155" s="1">
        <v>1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4</v>
      </c>
      <c r="AG155" s="1">
        <v>19</v>
      </c>
      <c r="AH155" s="1">
        <v>0</v>
      </c>
      <c r="AI155" s="9">
        <v>0.364</v>
      </c>
      <c r="AJ155" s="7">
        <v>36.5</v>
      </c>
      <c r="AK155" s="7">
        <v>52</v>
      </c>
    </row>
    <row r="156" s="1" customFormat="1" spans="1:37">
      <c r="A156" s="1">
        <v>196</v>
      </c>
      <c r="B156" s="1">
        <v>2</v>
      </c>
      <c r="C156" s="1">
        <v>69</v>
      </c>
      <c r="D156" s="1">
        <v>2</v>
      </c>
      <c r="E156" s="1">
        <v>2</v>
      </c>
      <c r="F156" s="1">
        <v>167</v>
      </c>
      <c r="G156" s="1">
        <v>70</v>
      </c>
      <c r="H156" s="1">
        <f t="shared" si="2"/>
        <v>25.0995015956112</v>
      </c>
      <c r="I156" s="1">
        <v>1</v>
      </c>
      <c r="J156" s="1">
        <v>1</v>
      </c>
      <c r="K156" s="1">
        <v>0</v>
      </c>
      <c r="L156" s="1">
        <v>0</v>
      </c>
      <c r="M156" s="1">
        <v>2</v>
      </c>
      <c r="N156" s="1">
        <v>2</v>
      </c>
      <c r="O156" s="1">
        <v>50</v>
      </c>
      <c r="P156" s="1">
        <v>115</v>
      </c>
      <c r="Q156" s="1">
        <v>700</v>
      </c>
      <c r="R156" s="1">
        <v>30</v>
      </c>
      <c r="S156" s="1">
        <v>200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4</v>
      </c>
      <c r="AG156" s="1">
        <v>3</v>
      </c>
      <c r="AH156" s="1">
        <v>1</v>
      </c>
      <c r="AI156" s="9">
        <v>0.332</v>
      </c>
      <c r="AJ156" s="7">
        <v>34.8</v>
      </c>
      <c r="AK156" s="7">
        <v>70</v>
      </c>
    </row>
    <row r="157" s="1" customFormat="1" spans="1:37">
      <c r="A157" s="1">
        <v>197</v>
      </c>
      <c r="B157" s="1">
        <v>2</v>
      </c>
      <c r="C157" s="1">
        <v>65</v>
      </c>
      <c r="D157" s="1">
        <v>2</v>
      </c>
      <c r="E157" s="1">
        <v>2</v>
      </c>
      <c r="F157" s="1">
        <v>155</v>
      </c>
      <c r="G157" s="1">
        <v>45</v>
      </c>
      <c r="H157" s="1">
        <f t="shared" si="2"/>
        <v>18.7304890738814</v>
      </c>
      <c r="I157" s="1">
        <v>1</v>
      </c>
      <c r="J157" s="1">
        <v>1</v>
      </c>
      <c r="K157" s="1">
        <v>0</v>
      </c>
      <c r="L157" s="1">
        <v>1</v>
      </c>
      <c r="M157" s="1">
        <v>1</v>
      </c>
      <c r="N157" s="1">
        <v>2</v>
      </c>
      <c r="O157" s="1">
        <v>60</v>
      </c>
      <c r="P157" s="1">
        <v>134</v>
      </c>
      <c r="Q157" s="1">
        <v>400</v>
      </c>
      <c r="R157" s="1">
        <v>10</v>
      </c>
      <c r="S157" s="1">
        <v>50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3</v>
      </c>
      <c r="AG157" s="1">
        <v>3</v>
      </c>
      <c r="AH157" s="1">
        <v>0</v>
      </c>
      <c r="AI157" s="6">
        <v>0.364</v>
      </c>
      <c r="AJ157" s="7">
        <v>34</v>
      </c>
      <c r="AK157" s="7">
        <v>56</v>
      </c>
    </row>
    <row r="158" s="1" customFormat="1" spans="1:37">
      <c r="A158" s="1">
        <v>198</v>
      </c>
      <c r="B158" s="1">
        <v>2</v>
      </c>
      <c r="C158" s="1">
        <v>80</v>
      </c>
      <c r="D158" s="1">
        <v>3</v>
      </c>
      <c r="E158" s="1">
        <v>2</v>
      </c>
      <c r="F158" s="1">
        <v>155</v>
      </c>
      <c r="G158" s="1">
        <v>45</v>
      </c>
      <c r="H158" s="1">
        <f t="shared" si="2"/>
        <v>18.7304890738814</v>
      </c>
      <c r="I158" s="1">
        <v>1</v>
      </c>
      <c r="J158" s="1">
        <v>0</v>
      </c>
      <c r="K158" s="1">
        <v>1</v>
      </c>
      <c r="L158" s="1">
        <v>0</v>
      </c>
      <c r="M158" s="1">
        <v>1</v>
      </c>
      <c r="N158" s="1">
        <v>4</v>
      </c>
      <c r="O158" s="1">
        <v>90</v>
      </c>
      <c r="P158" s="1">
        <v>153</v>
      </c>
      <c r="Q158" s="1">
        <v>800</v>
      </c>
      <c r="R158" s="1">
        <v>100</v>
      </c>
      <c r="S158" s="1">
        <v>150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1</v>
      </c>
      <c r="AB158" s="1">
        <v>0</v>
      </c>
      <c r="AC158" s="1">
        <v>0</v>
      </c>
      <c r="AD158" s="1">
        <v>0</v>
      </c>
      <c r="AE158" s="1">
        <v>0</v>
      </c>
      <c r="AF158" s="1">
        <v>6</v>
      </c>
      <c r="AG158" s="1">
        <v>5</v>
      </c>
      <c r="AH158" s="1">
        <v>1</v>
      </c>
      <c r="AI158" s="6">
        <v>0.35</v>
      </c>
      <c r="AJ158" s="7">
        <v>38.6</v>
      </c>
      <c r="AK158" s="7">
        <v>48</v>
      </c>
    </row>
    <row r="159" s="1" customFormat="1" spans="1:37">
      <c r="A159" s="1">
        <v>199</v>
      </c>
      <c r="B159" s="1">
        <v>2</v>
      </c>
      <c r="C159" s="1">
        <v>67</v>
      </c>
      <c r="D159" s="1">
        <v>1</v>
      </c>
      <c r="E159" s="1">
        <v>2</v>
      </c>
      <c r="F159" s="1">
        <v>155</v>
      </c>
      <c r="G159" s="1">
        <v>57</v>
      </c>
      <c r="H159" s="1">
        <f t="shared" si="2"/>
        <v>23.7252861602497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2</v>
      </c>
      <c r="O159" s="1">
        <v>70</v>
      </c>
      <c r="P159" s="1">
        <v>120</v>
      </c>
      <c r="Q159" s="1">
        <v>400</v>
      </c>
      <c r="R159" s="1">
        <v>15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4</v>
      </c>
      <c r="AG159" s="1">
        <v>3</v>
      </c>
      <c r="AH159" s="1">
        <v>0</v>
      </c>
      <c r="AI159" s="9">
        <v>0.38</v>
      </c>
      <c r="AJ159" s="7">
        <v>38.2</v>
      </c>
      <c r="AK159" s="7">
        <v>42</v>
      </c>
    </row>
    <row r="160" s="1" customFormat="1" spans="1:37">
      <c r="A160" s="1">
        <v>200</v>
      </c>
      <c r="B160" s="1">
        <v>1</v>
      </c>
      <c r="C160" s="1">
        <v>92</v>
      </c>
      <c r="D160" s="1">
        <v>2</v>
      </c>
      <c r="E160" s="1">
        <v>2</v>
      </c>
      <c r="F160" s="1">
        <v>172</v>
      </c>
      <c r="G160" s="1">
        <v>80</v>
      </c>
      <c r="H160" s="1">
        <f t="shared" si="2"/>
        <v>27.0416441319632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3</v>
      </c>
      <c r="O160" s="1">
        <v>40</v>
      </c>
      <c r="P160" s="1">
        <v>123</v>
      </c>
      <c r="Q160" s="1">
        <v>500</v>
      </c>
      <c r="R160" s="1">
        <v>50</v>
      </c>
      <c r="S160" s="1">
        <v>100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1</v>
      </c>
      <c r="AD160" s="1">
        <v>0</v>
      </c>
      <c r="AE160" s="1">
        <v>0</v>
      </c>
      <c r="AF160" s="1">
        <v>3</v>
      </c>
      <c r="AG160" s="1">
        <v>4</v>
      </c>
      <c r="AH160" s="1">
        <v>1</v>
      </c>
      <c r="AI160" s="6" t="s">
        <v>65</v>
      </c>
      <c r="AJ160" s="7" t="s">
        <v>65</v>
      </c>
      <c r="AK160" s="7"/>
    </row>
    <row r="161" s="1" customFormat="1" spans="1:37">
      <c r="A161" s="1">
        <v>201</v>
      </c>
      <c r="B161" s="1">
        <v>2</v>
      </c>
      <c r="C161" s="1">
        <v>73</v>
      </c>
      <c r="D161" s="1">
        <v>2</v>
      </c>
      <c r="E161" s="1">
        <v>2</v>
      </c>
      <c r="F161" s="1">
        <v>161</v>
      </c>
      <c r="G161" s="1">
        <v>57</v>
      </c>
      <c r="H161" s="1">
        <f t="shared" si="2"/>
        <v>21.9898923652637</v>
      </c>
      <c r="I161" s="1">
        <v>1</v>
      </c>
      <c r="J161" s="1">
        <v>1</v>
      </c>
      <c r="K161" s="1">
        <v>0</v>
      </c>
      <c r="L161" s="1">
        <v>0</v>
      </c>
      <c r="M161" s="1">
        <v>1</v>
      </c>
      <c r="N161" s="1">
        <v>1</v>
      </c>
      <c r="O161" s="1">
        <v>70</v>
      </c>
      <c r="P161" s="1">
        <v>111</v>
      </c>
      <c r="Q161" s="1">
        <v>300</v>
      </c>
      <c r="R161" s="1">
        <v>10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5</v>
      </c>
      <c r="AG161" s="1">
        <v>5</v>
      </c>
      <c r="AH161" s="1">
        <v>1</v>
      </c>
      <c r="AI161" s="6">
        <v>0.361</v>
      </c>
      <c r="AJ161" s="7">
        <v>39.4</v>
      </c>
      <c r="AK161" s="7">
        <v>47</v>
      </c>
    </row>
    <row r="162" s="1" customFormat="1" spans="1:37">
      <c r="A162" s="1">
        <v>202</v>
      </c>
      <c r="B162" s="1">
        <v>2</v>
      </c>
      <c r="C162" s="1">
        <v>76</v>
      </c>
      <c r="D162" s="1">
        <v>2</v>
      </c>
      <c r="E162" s="1">
        <v>2</v>
      </c>
      <c r="F162" s="1">
        <v>150</v>
      </c>
      <c r="G162" s="1">
        <v>49</v>
      </c>
      <c r="H162" s="1">
        <f t="shared" si="2"/>
        <v>21.7777777777778</v>
      </c>
      <c r="I162" s="1">
        <v>1</v>
      </c>
      <c r="J162" s="1">
        <v>0</v>
      </c>
      <c r="K162" s="1">
        <v>0</v>
      </c>
      <c r="L162" s="1">
        <v>0</v>
      </c>
      <c r="M162" s="1">
        <v>1</v>
      </c>
      <c r="N162" s="1">
        <v>2</v>
      </c>
      <c r="O162" s="1">
        <v>70</v>
      </c>
      <c r="P162" s="1">
        <v>121</v>
      </c>
      <c r="Q162" s="1">
        <v>800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1</v>
      </c>
      <c r="AD162" s="1">
        <v>0</v>
      </c>
      <c r="AE162" s="1">
        <v>0</v>
      </c>
      <c r="AF162" s="1">
        <v>6</v>
      </c>
      <c r="AG162" s="1">
        <v>4</v>
      </c>
      <c r="AH162" s="1">
        <v>2</v>
      </c>
      <c r="AI162" s="6">
        <v>0.33</v>
      </c>
      <c r="AJ162" s="7">
        <v>35.1</v>
      </c>
      <c r="AK162" s="7">
        <v>56</v>
      </c>
    </row>
    <row r="163" s="1" customFormat="1" spans="1:37">
      <c r="A163" s="1">
        <v>204</v>
      </c>
      <c r="B163" s="1">
        <v>2</v>
      </c>
      <c r="C163" s="1">
        <v>76</v>
      </c>
      <c r="D163" s="1">
        <v>1</v>
      </c>
      <c r="E163" s="1">
        <v>2</v>
      </c>
      <c r="F163" s="1">
        <v>155</v>
      </c>
      <c r="G163" s="1">
        <v>55</v>
      </c>
      <c r="H163" s="1">
        <f t="shared" si="2"/>
        <v>22.8928199791883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2</v>
      </c>
      <c r="O163" s="1">
        <v>70</v>
      </c>
      <c r="P163" s="1">
        <v>160</v>
      </c>
      <c r="Q163" s="1">
        <v>1200</v>
      </c>
      <c r="R163" s="1">
        <v>10</v>
      </c>
      <c r="S163" s="1">
        <v>100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2</v>
      </c>
      <c r="AB163" s="1">
        <v>0</v>
      </c>
      <c r="AC163" s="1">
        <v>1</v>
      </c>
      <c r="AD163" s="1">
        <v>0</v>
      </c>
      <c r="AE163" s="1">
        <v>0</v>
      </c>
      <c r="AF163" s="1">
        <v>2</v>
      </c>
      <c r="AG163" s="1">
        <v>12</v>
      </c>
      <c r="AH163" s="1">
        <v>1</v>
      </c>
      <c r="AI163" s="6">
        <v>0.371</v>
      </c>
      <c r="AJ163" s="7">
        <v>42.6</v>
      </c>
      <c r="AK163" s="7">
        <v>68</v>
      </c>
    </row>
    <row r="164" s="1" customFormat="1" spans="1:37">
      <c r="A164" s="1">
        <v>205</v>
      </c>
      <c r="B164" s="1">
        <v>2</v>
      </c>
      <c r="C164" s="1">
        <v>77</v>
      </c>
      <c r="D164" s="1">
        <v>2</v>
      </c>
      <c r="E164" s="1">
        <v>2</v>
      </c>
      <c r="F164" s="1">
        <v>151</v>
      </c>
      <c r="G164" s="1">
        <v>63</v>
      </c>
      <c r="H164" s="1">
        <f t="shared" si="2"/>
        <v>27.6303670891628</v>
      </c>
      <c r="I164" s="1">
        <v>1</v>
      </c>
      <c r="J164" s="1">
        <v>0</v>
      </c>
      <c r="K164" s="1">
        <v>0</v>
      </c>
      <c r="L164" s="1">
        <v>0</v>
      </c>
      <c r="M164" s="1">
        <v>1</v>
      </c>
      <c r="N164" s="1">
        <v>2</v>
      </c>
      <c r="O164" s="1">
        <v>75</v>
      </c>
      <c r="P164" s="1">
        <v>140</v>
      </c>
      <c r="Q164" s="1">
        <v>1200</v>
      </c>
      <c r="R164" s="1">
        <v>100</v>
      </c>
      <c r="S164" s="1">
        <v>600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2</v>
      </c>
      <c r="AB164" s="1">
        <v>0</v>
      </c>
      <c r="AC164" s="1">
        <v>1</v>
      </c>
      <c r="AD164" s="1">
        <v>0</v>
      </c>
      <c r="AE164" s="1">
        <v>0</v>
      </c>
      <c r="AF164" s="1">
        <v>2</v>
      </c>
      <c r="AG164" s="1">
        <v>10</v>
      </c>
      <c r="AH164" s="1">
        <v>1</v>
      </c>
      <c r="AI164" s="6">
        <v>0.365</v>
      </c>
      <c r="AJ164" s="7">
        <v>34.3</v>
      </c>
      <c r="AK164" s="7">
        <v>50</v>
      </c>
    </row>
    <row r="165" s="1" customFormat="1" spans="1:37">
      <c r="A165" s="1">
        <v>206</v>
      </c>
      <c r="B165" s="1">
        <v>2</v>
      </c>
      <c r="C165" s="1">
        <v>77</v>
      </c>
      <c r="D165" s="1">
        <v>3</v>
      </c>
      <c r="E165" s="1">
        <v>3</v>
      </c>
      <c r="F165" s="1">
        <v>158</v>
      </c>
      <c r="G165" s="1">
        <v>80</v>
      </c>
      <c r="H165" s="1">
        <f t="shared" si="2"/>
        <v>32.0461464508893</v>
      </c>
      <c r="I165" s="1">
        <v>0</v>
      </c>
      <c r="J165" s="1">
        <v>1</v>
      </c>
      <c r="K165" s="1">
        <v>0</v>
      </c>
      <c r="L165" s="1">
        <v>1</v>
      </c>
      <c r="M165" s="1">
        <v>4</v>
      </c>
      <c r="N165" s="1">
        <v>5</v>
      </c>
      <c r="O165" s="1">
        <v>150</v>
      </c>
      <c r="P165" s="1">
        <v>219</v>
      </c>
      <c r="Q165" s="1">
        <v>1500</v>
      </c>
      <c r="R165" s="1">
        <v>450</v>
      </c>
      <c r="S165" s="1">
        <v>850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13</v>
      </c>
      <c r="AG165" s="1">
        <v>35</v>
      </c>
      <c r="AH165" s="1">
        <v>1</v>
      </c>
      <c r="AI165" s="6">
        <v>0.372</v>
      </c>
      <c r="AJ165" s="7">
        <v>34.1</v>
      </c>
      <c r="AK165" s="7">
        <v>48</v>
      </c>
    </row>
    <row r="166" s="1" customFormat="1" spans="1:37">
      <c r="A166" s="1">
        <v>207</v>
      </c>
      <c r="B166" s="1">
        <v>2</v>
      </c>
      <c r="C166" s="1">
        <v>82</v>
      </c>
      <c r="D166" s="1">
        <v>3</v>
      </c>
      <c r="E166" s="1">
        <v>2</v>
      </c>
      <c r="F166" s="1">
        <v>155</v>
      </c>
      <c r="G166" s="1">
        <v>80</v>
      </c>
      <c r="H166" s="1">
        <f t="shared" si="2"/>
        <v>33.2986472424558</v>
      </c>
      <c r="I166" s="1">
        <v>1</v>
      </c>
      <c r="J166" s="1">
        <v>1</v>
      </c>
      <c r="K166" s="1">
        <v>0</v>
      </c>
      <c r="L166" s="1">
        <v>0</v>
      </c>
      <c r="M166" s="1">
        <v>3</v>
      </c>
      <c r="N166" s="1">
        <v>3</v>
      </c>
      <c r="O166" s="1">
        <v>150</v>
      </c>
      <c r="P166" s="1">
        <v>235</v>
      </c>
      <c r="Q166" s="1">
        <v>1600</v>
      </c>
      <c r="R166" s="1">
        <v>500</v>
      </c>
      <c r="S166" s="1">
        <v>100</v>
      </c>
      <c r="T166" s="1">
        <v>400</v>
      </c>
      <c r="U166" s="1">
        <v>200</v>
      </c>
      <c r="V166" s="1">
        <v>400</v>
      </c>
      <c r="W166" s="1">
        <v>600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0</v>
      </c>
      <c r="AD166" s="1">
        <v>0</v>
      </c>
      <c r="AE166" s="1">
        <v>0</v>
      </c>
      <c r="AF166" s="1">
        <v>2</v>
      </c>
      <c r="AG166" s="1">
        <v>7</v>
      </c>
      <c r="AH166" s="1">
        <v>3</v>
      </c>
      <c r="AI166" s="6">
        <v>0.231</v>
      </c>
      <c r="AJ166" s="7">
        <v>31.2</v>
      </c>
      <c r="AK166" s="7">
        <v>82</v>
      </c>
    </row>
    <row r="167" s="1" customFormat="1" spans="1:37">
      <c r="A167" s="1">
        <v>208</v>
      </c>
      <c r="B167" s="1">
        <v>2</v>
      </c>
      <c r="C167" s="1">
        <v>76</v>
      </c>
      <c r="D167" s="1">
        <v>2</v>
      </c>
      <c r="E167" s="1">
        <v>2</v>
      </c>
      <c r="F167" s="1">
        <v>162</v>
      </c>
      <c r="G167" s="1">
        <v>65</v>
      </c>
      <c r="H167" s="1">
        <f t="shared" si="2"/>
        <v>24.7675659198293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2</v>
      </c>
      <c r="O167" s="1">
        <v>40</v>
      </c>
      <c r="P167" s="1">
        <v>119</v>
      </c>
      <c r="Q167" s="1">
        <v>800</v>
      </c>
      <c r="R167" s="1">
        <v>20</v>
      </c>
      <c r="S167" s="1">
        <v>200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6</v>
      </c>
      <c r="AG167" s="1">
        <v>14</v>
      </c>
      <c r="AH167" s="1">
        <v>1</v>
      </c>
      <c r="AI167" s="6">
        <v>0.389</v>
      </c>
      <c r="AJ167" s="7">
        <v>38.2</v>
      </c>
      <c r="AK167" s="7">
        <v>49</v>
      </c>
    </row>
    <row r="168" s="1" customFormat="1" spans="1:37">
      <c r="A168" s="1">
        <v>209</v>
      </c>
      <c r="B168" s="1">
        <v>1</v>
      </c>
      <c r="C168" s="1">
        <v>65</v>
      </c>
      <c r="D168" s="1">
        <v>1</v>
      </c>
      <c r="E168" s="1">
        <v>2</v>
      </c>
      <c r="F168" s="1">
        <v>182</v>
      </c>
      <c r="G168" s="1">
        <v>82</v>
      </c>
      <c r="H168" s="1">
        <f t="shared" si="2"/>
        <v>24.7554643159039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2</v>
      </c>
      <c r="O168" s="1">
        <v>70</v>
      </c>
      <c r="P168" s="1">
        <v>124</v>
      </c>
      <c r="Q168" s="1">
        <v>1200</v>
      </c>
      <c r="R168" s="1">
        <v>20</v>
      </c>
      <c r="S168" s="1">
        <v>400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3</v>
      </c>
      <c r="AG168" s="1">
        <v>4</v>
      </c>
      <c r="AH168" s="1">
        <v>0</v>
      </c>
      <c r="AI168" s="6">
        <v>0.389</v>
      </c>
      <c r="AJ168" s="7">
        <v>36</v>
      </c>
      <c r="AK168" s="7">
        <v>93</v>
      </c>
    </row>
    <row r="169" s="1" customFormat="1" spans="1:37">
      <c r="A169" s="1">
        <v>210</v>
      </c>
      <c r="B169" s="1">
        <v>1</v>
      </c>
      <c r="C169" s="1">
        <v>71</v>
      </c>
      <c r="D169" s="1">
        <v>2</v>
      </c>
      <c r="E169" s="1">
        <v>2</v>
      </c>
      <c r="F169" s="1">
        <v>170</v>
      </c>
      <c r="G169" s="1">
        <v>60</v>
      </c>
      <c r="H169" s="1">
        <f t="shared" si="2"/>
        <v>20.7612456747405</v>
      </c>
      <c r="I169" s="1">
        <v>1</v>
      </c>
      <c r="J169" s="1">
        <v>0</v>
      </c>
      <c r="K169" s="1">
        <v>0</v>
      </c>
      <c r="L169" s="1">
        <v>0</v>
      </c>
      <c r="M169" s="1">
        <v>4</v>
      </c>
      <c r="N169" s="1">
        <v>3</v>
      </c>
      <c r="O169" s="1">
        <v>280</v>
      </c>
      <c r="P169" s="1">
        <v>299</v>
      </c>
      <c r="Q169" s="1">
        <v>6200</v>
      </c>
      <c r="R169" s="1">
        <v>3500</v>
      </c>
      <c r="S169" s="1">
        <v>500</v>
      </c>
      <c r="T169" s="1">
        <v>1000</v>
      </c>
      <c r="U169" s="1">
        <v>0</v>
      </c>
      <c r="V169" s="1">
        <v>1000</v>
      </c>
      <c r="W169" s="1">
        <v>400</v>
      </c>
      <c r="X169" s="1">
        <v>1</v>
      </c>
      <c r="Y169" s="1">
        <v>1</v>
      </c>
      <c r="Z169" s="1">
        <v>1</v>
      </c>
      <c r="AA169" s="1">
        <v>5</v>
      </c>
      <c r="AB169" s="1">
        <v>1</v>
      </c>
      <c r="AC169" s="1">
        <v>0</v>
      </c>
      <c r="AD169" s="1">
        <v>0</v>
      </c>
      <c r="AE169" s="1">
        <v>0</v>
      </c>
      <c r="AF169" s="1">
        <v>5</v>
      </c>
      <c r="AG169" s="1">
        <v>14</v>
      </c>
      <c r="AH169" s="1">
        <v>3</v>
      </c>
      <c r="AI169" s="6">
        <v>0.226</v>
      </c>
      <c r="AJ169" s="7">
        <v>27</v>
      </c>
      <c r="AK169" s="7">
        <v>68</v>
      </c>
    </row>
    <row r="170" s="1" customFormat="1" spans="1:37">
      <c r="A170" s="1">
        <v>211</v>
      </c>
      <c r="B170" s="1">
        <v>2</v>
      </c>
      <c r="C170" s="1">
        <v>84</v>
      </c>
      <c r="D170" s="1">
        <v>3</v>
      </c>
      <c r="E170" s="1">
        <v>2</v>
      </c>
      <c r="F170" s="1">
        <v>160</v>
      </c>
      <c r="G170" s="1">
        <v>45</v>
      </c>
      <c r="H170" s="1">
        <f t="shared" si="2"/>
        <v>17.578125</v>
      </c>
      <c r="I170" s="1">
        <v>0</v>
      </c>
      <c r="J170" s="1">
        <v>1</v>
      </c>
      <c r="K170" s="1">
        <v>0</v>
      </c>
      <c r="L170" s="1">
        <v>0</v>
      </c>
      <c r="M170" s="1">
        <v>2</v>
      </c>
      <c r="N170" s="1">
        <v>3</v>
      </c>
      <c r="O170" s="1">
        <v>75</v>
      </c>
      <c r="P170" s="1">
        <v>149</v>
      </c>
      <c r="Q170" s="1">
        <v>400</v>
      </c>
      <c r="R170" s="1">
        <v>200</v>
      </c>
      <c r="S170" s="1">
        <v>10</v>
      </c>
      <c r="T170" s="1">
        <v>0</v>
      </c>
      <c r="U170" s="1">
        <v>0</v>
      </c>
      <c r="V170" s="1">
        <v>400</v>
      </c>
      <c r="W170" s="1">
        <v>0</v>
      </c>
      <c r="X170" s="1">
        <v>0</v>
      </c>
      <c r="Y170" s="1">
        <v>1</v>
      </c>
      <c r="Z170" s="1">
        <v>1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3</v>
      </c>
      <c r="AG170" s="1">
        <v>6</v>
      </c>
      <c r="AH170" s="1">
        <v>4</v>
      </c>
      <c r="AI170" s="1">
        <v>0.264</v>
      </c>
      <c r="AJ170" s="7">
        <v>30.8</v>
      </c>
      <c r="AK170" s="7">
        <v>54</v>
      </c>
    </row>
    <row r="171" s="1" customFormat="1" spans="1:37">
      <c r="A171" s="1">
        <v>213</v>
      </c>
      <c r="B171" s="1">
        <v>1</v>
      </c>
      <c r="C171" s="1">
        <v>89</v>
      </c>
      <c r="D171" s="1">
        <v>2</v>
      </c>
      <c r="E171" s="1">
        <v>2</v>
      </c>
      <c r="F171" s="1">
        <v>165</v>
      </c>
      <c r="G171" s="1">
        <v>55</v>
      </c>
      <c r="H171" s="1">
        <f t="shared" si="2"/>
        <v>20.2020202020202</v>
      </c>
      <c r="I171" s="1">
        <v>1</v>
      </c>
      <c r="J171" s="1">
        <v>0</v>
      </c>
      <c r="K171" s="1">
        <v>0</v>
      </c>
      <c r="L171" s="1">
        <v>0</v>
      </c>
      <c r="M171" s="1">
        <v>2</v>
      </c>
      <c r="N171" s="1">
        <v>3</v>
      </c>
      <c r="O171" s="1">
        <v>70</v>
      </c>
      <c r="P171" s="1">
        <v>165</v>
      </c>
      <c r="Q171" s="1">
        <v>500</v>
      </c>
      <c r="R171" s="1">
        <v>20</v>
      </c>
      <c r="S171" s="1">
        <v>100</v>
      </c>
      <c r="T171" s="1">
        <v>0</v>
      </c>
      <c r="U171" s="1">
        <v>0</v>
      </c>
      <c r="V171" s="1">
        <v>400</v>
      </c>
      <c r="W171" s="1">
        <v>400</v>
      </c>
      <c r="X171" s="1">
        <v>0</v>
      </c>
      <c r="Y171" s="1">
        <v>1</v>
      </c>
      <c r="Z171" s="1">
        <v>1</v>
      </c>
      <c r="AA171" s="1">
        <v>2</v>
      </c>
      <c r="AB171" s="1">
        <v>0</v>
      </c>
      <c r="AC171" s="1">
        <v>0</v>
      </c>
      <c r="AD171" s="1">
        <v>0</v>
      </c>
      <c r="AE171" s="1">
        <v>0</v>
      </c>
      <c r="AF171" s="1">
        <v>3</v>
      </c>
      <c r="AG171" s="1">
        <v>20</v>
      </c>
      <c r="AH171" s="1">
        <v>2</v>
      </c>
      <c r="AI171" s="6">
        <v>0.317</v>
      </c>
      <c r="AJ171" s="7">
        <v>35.5</v>
      </c>
      <c r="AK171" s="7">
        <v>134</v>
      </c>
    </row>
    <row r="172" s="1" customFormat="1" spans="1:37">
      <c r="A172" s="1">
        <v>214</v>
      </c>
      <c r="B172" s="1">
        <v>2</v>
      </c>
      <c r="C172" s="1">
        <v>80</v>
      </c>
      <c r="D172" s="1">
        <v>2</v>
      </c>
      <c r="E172" s="1">
        <v>2</v>
      </c>
      <c r="F172" s="1">
        <v>165</v>
      </c>
      <c r="G172" s="1">
        <v>55</v>
      </c>
      <c r="H172" s="1">
        <f t="shared" si="2"/>
        <v>20.2020202020202</v>
      </c>
      <c r="I172" s="1">
        <v>0</v>
      </c>
      <c r="J172" s="1">
        <v>0</v>
      </c>
      <c r="K172" s="1">
        <v>0</v>
      </c>
      <c r="L172" s="1">
        <v>0</v>
      </c>
      <c r="M172" s="8">
        <v>4</v>
      </c>
      <c r="N172" s="1">
        <v>5</v>
      </c>
      <c r="O172" s="1">
        <v>130</v>
      </c>
      <c r="P172" s="1">
        <v>200</v>
      </c>
      <c r="Q172" s="1">
        <v>1200</v>
      </c>
      <c r="R172" s="1">
        <v>200</v>
      </c>
      <c r="S172" s="1">
        <v>200</v>
      </c>
      <c r="T172" s="1">
        <v>400</v>
      </c>
      <c r="U172" s="1">
        <v>200</v>
      </c>
      <c r="V172" s="1">
        <v>200</v>
      </c>
      <c r="W172" s="1">
        <v>200</v>
      </c>
      <c r="X172" s="1">
        <v>1</v>
      </c>
      <c r="Y172" s="1">
        <v>1</v>
      </c>
      <c r="Z172" s="1">
        <v>1</v>
      </c>
      <c r="AA172" s="1">
        <v>1</v>
      </c>
      <c r="AB172" s="1">
        <v>0</v>
      </c>
      <c r="AC172" s="1">
        <v>0</v>
      </c>
      <c r="AD172" s="1">
        <v>0</v>
      </c>
      <c r="AE172" s="1">
        <v>1</v>
      </c>
      <c r="AF172" s="1">
        <v>4</v>
      </c>
      <c r="AG172" s="1">
        <v>14</v>
      </c>
      <c r="AH172" s="1">
        <v>3</v>
      </c>
      <c r="AI172" s="6">
        <v>0.33</v>
      </c>
      <c r="AJ172" s="7">
        <v>29.1</v>
      </c>
      <c r="AK172" s="7">
        <v>55</v>
      </c>
    </row>
    <row r="173" s="1" customFormat="1" spans="1:37">
      <c r="A173" s="1">
        <v>215</v>
      </c>
      <c r="B173" s="1">
        <v>2</v>
      </c>
      <c r="C173" s="1">
        <v>90</v>
      </c>
      <c r="D173" s="1">
        <v>3</v>
      </c>
      <c r="E173" s="1">
        <v>2</v>
      </c>
      <c r="F173" s="1">
        <v>148</v>
      </c>
      <c r="G173" s="1">
        <v>35</v>
      </c>
      <c r="H173" s="1">
        <f t="shared" si="2"/>
        <v>15.9788166544923</v>
      </c>
      <c r="I173" s="1">
        <v>1</v>
      </c>
      <c r="J173" s="1">
        <v>0</v>
      </c>
      <c r="K173" s="1">
        <v>0</v>
      </c>
      <c r="L173" s="1">
        <v>0</v>
      </c>
      <c r="M173" s="1">
        <v>2</v>
      </c>
      <c r="N173" s="1">
        <v>3</v>
      </c>
      <c r="O173" s="1">
        <v>90</v>
      </c>
      <c r="P173" s="1">
        <v>204</v>
      </c>
      <c r="Q173" s="1">
        <v>800</v>
      </c>
      <c r="R173" s="1">
        <v>20</v>
      </c>
      <c r="S173" s="1">
        <v>100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2</v>
      </c>
      <c r="AB173" s="1">
        <v>0</v>
      </c>
      <c r="AC173" s="1">
        <v>0</v>
      </c>
      <c r="AD173" s="1">
        <v>0</v>
      </c>
      <c r="AE173" s="1">
        <v>0</v>
      </c>
      <c r="AF173" s="1">
        <v>4</v>
      </c>
      <c r="AG173" s="1">
        <v>2</v>
      </c>
      <c r="AH173" s="1">
        <v>3</v>
      </c>
      <c r="AI173" s="6">
        <v>0.346</v>
      </c>
      <c r="AJ173" s="7">
        <v>38.3</v>
      </c>
      <c r="AK173" s="7">
        <v>94</v>
      </c>
    </row>
    <row r="174" s="1" customFormat="1" spans="1:37">
      <c r="A174" s="1">
        <v>216</v>
      </c>
      <c r="B174" s="1">
        <v>1</v>
      </c>
      <c r="C174" s="1">
        <v>76</v>
      </c>
      <c r="D174" s="1">
        <v>3</v>
      </c>
      <c r="E174" s="1">
        <v>2</v>
      </c>
      <c r="F174" s="1">
        <v>176</v>
      </c>
      <c r="G174" s="1">
        <v>73</v>
      </c>
      <c r="H174" s="1">
        <f t="shared" si="2"/>
        <v>23.566632231405</v>
      </c>
      <c r="I174" s="1">
        <v>0</v>
      </c>
      <c r="J174" s="1">
        <v>0</v>
      </c>
      <c r="K174" s="1">
        <v>0</v>
      </c>
      <c r="L174" s="1">
        <v>1</v>
      </c>
      <c r="M174" s="1">
        <v>2</v>
      </c>
      <c r="N174" s="1">
        <v>3</v>
      </c>
      <c r="O174" s="1">
        <v>130</v>
      </c>
      <c r="P174" s="1">
        <v>175</v>
      </c>
      <c r="Q174" s="1">
        <v>800</v>
      </c>
      <c r="R174" s="1">
        <v>50</v>
      </c>
      <c r="S174" s="1">
        <v>200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1</v>
      </c>
      <c r="AB174" s="1">
        <v>0</v>
      </c>
      <c r="AC174" s="1">
        <v>1</v>
      </c>
      <c r="AD174" s="1">
        <v>0</v>
      </c>
      <c r="AE174" s="1">
        <v>0</v>
      </c>
      <c r="AF174" s="1">
        <v>8</v>
      </c>
      <c r="AG174" s="1">
        <v>11</v>
      </c>
      <c r="AH174" s="1">
        <v>2</v>
      </c>
      <c r="AI174" s="6">
        <v>0.349</v>
      </c>
      <c r="AJ174" s="7">
        <v>34.8</v>
      </c>
      <c r="AK174" s="7">
        <v>106</v>
      </c>
    </row>
    <row r="175" s="1" customFormat="1" spans="1:37">
      <c r="A175" s="1">
        <v>217</v>
      </c>
      <c r="B175" s="1">
        <v>2</v>
      </c>
      <c r="C175" s="1">
        <v>84</v>
      </c>
      <c r="D175" s="1">
        <v>2</v>
      </c>
      <c r="E175" s="1">
        <v>2</v>
      </c>
      <c r="F175" s="1">
        <v>148</v>
      </c>
      <c r="G175" s="1">
        <v>45</v>
      </c>
      <c r="H175" s="1">
        <f t="shared" si="2"/>
        <v>20.5441928414901</v>
      </c>
      <c r="I175" s="1">
        <v>0</v>
      </c>
      <c r="J175" s="1">
        <v>0</v>
      </c>
      <c r="K175" s="1">
        <v>0</v>
      </c>
      <c r="L175" s="1">
        <v>1</v>
      </c>
      <c r="M175" s="1">
        <v>3</v>
      </c>
      <c r="N175" s="1">
        <v>3</v>
      </c>
      <c r="O175" s="1">
        <v>90</v>
      </c>
      <c r="P175" s="1">
        <v>136</v>
      </c>
      <c r="Q175" s="1">
        <v>1300</v>
      </c>
      <c r="R175" s="1">
        <v>30</v>
      </c>
      <c r="S175" s="1">
        <v>200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1">
        <v>2</v>
      </c>
      <c r="AG175" s="1">
        <v>5</v>
      </c>
      <c r="AH175" s="1">
        <v>1</v>
      </c>
      <c r="AI175" s="6">
        <v>0.376</v>
      </c>
      <c r="AJ175" s="7">
        <v>38.1</v>
      </c>
      <c r="AK175" s="7">
        <v>44</v>
      </c>
    </row>
    <row r="176" s="1" customFormat="1" spans="1:37">
      <c r="A176" s="1">
        <v>218</v>
      </c>
      <c r="B176" s="1">
        <v>2</v>
      </c>
      <c r="C176" s="1">
        <v>74</v>
      </c>
      <c r="D176" s="1">
        <v>2</v>
      </c>
      <c r="E176" s="1">
        <v>2</v>
      </c>
      <c r="F176" s="1">
        <v>152</v>
      </c>
      <c r="G176" s="1">
        <v>58</v>
      </c>
      <c r="H176" s="1">
        <f t="shared" si="2"/>
        <v>25.1038781163435</v>
      </c>
      <c r="I176" s="1">
        <v>1</v>
      </c>
      <c r="J176" s="1">
        <v>0</v>
      </c>
      <c r="K176" s="1">
        <v>0</v>
      </c>
      <c r="L176" s="1">
        <v>0</v>
      </c>
      <c r="M176" s="1">
        <v>2</v>
      </c>
      <c r="N176" s="1">
        <v>3</v>
      </c>
      <c r="O176" s="1">
        <v>70</v>
      </c>
      <c r="P176" s="1">
        <v>140</v>
      </c>
      <c r="Q176" s="1">
        <v>800</v>
      </c>
      <c r="R176" s="1">
        <v>100</v>
      </c>
      <c r="S176" s="1">
        <v>250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2</v>
      </c>
      <c r="AB176" s="1">
        <v>0</v>
      </c>
      <c r="AC176" s="1">
        <v>0</v>
      </c>
      <c r="AD176" s="1">
        <v>0</v>
      </c>
      <c r="AE176" s="1">
        <v>0</v>
      </c>
      <c r="AF176" s="1">
        <v>2</v>
      </c>
      <c r="AG176" s="1">
        <v>5</v>
      </c>
      <c r="AH176" s="1">
        <v>1</v>
      </c>
      <c r="AI176" s="6" t="s">
        <v>65</v>
      </c>
      <c r="AJ176" s="7" t="s">
        <v>65</v>
      </c>
      <c r="AK176" s="7">
        <v>84</v>
      </c>
    </row>
    <row r="177" s="1" customFormat="1" spans="1:37">
      <c r="A177" s="1">
        <v>219</v>
      </c>
      <c r="B177" s="1">
        <v>2</v>
      </c>
      <c r="C177" s="1">
        <v>92</v>
      </c>
      <c r="D177" s="1">
        <v>2</v>
      </c>
      <c r="E177" s="1">
        <v>2</v>
      </c>
      <c r="F177" s="1">
        <v>150</v>
      </c>
      <c r="G177" s="1">
        <v>51</v>
      </c>
      <c r="H177" s="1">
        <f t="shared" si="2"/>
        <v>22.6666666666667</v>
      </c>
      <c r="I177" s="1">
        <v>1</v>
      </c>
      <c r="J177" s="1">
        <v>0</v>
      </c>
      <c r="K177" s="1">
        <v>0</v>
      </c>
      <c r="L177" s="1">
        <v>0</v>
      </c>
      <c r="M177" s="1">
        <v>2</v>
      </c>
      <c r="N177" s="1">
        <v>3</v>
      </c>
      <c r="O177" s="1">
        <v>60</v>
      </c>
      <c r="P177" s="1">
        <v>164</v>
      </c>
      <c r="Q177" s="1">
        <v>500</v>
      </c>
      <c r="R177" s="1">
        <v>50</v>
      </c>
      <c r="S177" s="1">
        <v>50</v>
      </c>
      <c r="T177" s="1">
        <v>0</v>
      </c>
      <c r="U177" s="1">
        <v>0</v>
      </c>
      <c r="V177" s="1">
        <v>400</v>
      </c>
      <c r="W177" s="1">
        <v>400</v>
      </c>
      <c r="X177" s="1">
        <v>0</v>
      </c>
      <c r="Y177" s="1">
        <v>1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1</v>
      </c>
      <c r="AF177" s="1">
        <v>3</v>
      </c>
      <c r="AG177" s="1">
        <v>11</v>
      </c>
      <c r="AH177" s="1">
        <v>2</v>
      </c>
      <c r="AI177" s="6">
        <v>0.31</v>
      </c>
      <c r="AJ177" s="7">
        <v>34.5</v>
      </c>
      <c r="AK177" s="7">
        <v>87</v>
      </c>
    </row>
    <row r="178" s="1" customFormat="1" spans="1:37">
      <c r="A178" s="1">
        <v>220</v>
      </c>
      <c r="B178" s="1">
        <v>1</v>
      </c>
      <c r="C178" s="1">
        <v>84</v>
      </c>
      <c r="D178" s="1">
        <v>2</v>
      </c>
      <c r="E178" s="1">
        <v>2</v>
      </c>
      <c r="F178" s="1">
        <v>160</v>
      </c>
      <c r="G178" s="1">
        <v>50</v>
      </c>
      <c r="H178" s="1">
        <f t="shared" si="2"/>
        <v>19.53125</v>
      </c>
      <c r="I178" s="1">
        <v>1</v>
      </c>
      <c r="J178" s="1">
        <v>0</v>
      </c>
      <c r="K178" s="1">
        <v>0</v>
      </c>
      <c r="L178" s="1">
        <v>0</v>
      </c>
      <c r="M178" s="1">
        <v>2</v>
      </c>
      <c r="N178" s="1">
        <v>3</v>
      </c>
      <c r="O178" s="1">
        <v>100</v>
      </c>
      <c r="P178" s="1">
        <v>177</v>
      </c>
      <c r="Q178" s="1">
        <v>800</v>
      </c>
      <c r="R178" s="1">
        <v>100</v>
      </c>
      <c r="S178" s="1">
        <v>100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2</v>
      </c>
      <c r="AG178" s="1">
        <v>14</v>
      </c>
      <c r="AH178" s="1">
        <v>2</v>
      </c>
      <c r="AI178" s="6">
        <v>0.322</v>
      </c>
      <c r="AJ178" s="7">
        <v>37.4</v>
      </c>
      <c r="AK178" s="7">
        <v>64</v>
      </c>
    </row>
    <row r="179" s="1" customFormat="1" spans="1:37">
      <c r="A179" s="1">
        <v>221</v>
      </c>
      <c r="B179" s="1">
        <v>2</v>
      </c>
      <c r="C179" s="1">
        <v>84</v>
      </c>
      <c r="D179" s="1">
        <v>2</v>
      </c>
      <c r="E179" s="1">
        <v>2</v>
      </c>
      <c r="F179" s="1">
        <v>154</v>
      </c>
      <c r="G179" s="1">
        <v>50</v>
      </c>
      <c r="H179" s="1">
        <f t="shared" si="2"/>
        <v>21.0828132906055</v>
      </c>
      <c r="I179" s="1">
        <v>1</v>
      </c>
      <c r="J179" s="1">
        <v>1</v>
      </c>
      <c r="K179" s="1">
        <v>0</v>
      </c>
      <c r="L179" s="1">
        <v>1</v>
      </c>
      <c r="M179" s="1">
        <v>2</v>
      </c>
      <c r="N179" s="1">
        <v>3</v>
      </c>
      <c r="O179" s="1">
        <v>70</v>
      </c>
      <c r="P179" s="1">
        <v>185</v>
      </c>
      <c r="Q179" s="1">
        <v>650</v>
      </c>
      <c r="R179" s="1">
        <v>100</v>
      </c>
      <c r="S179" s="1">
        <v>200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0</v>
      </c>
      <c r="AC179" s="1">
        <v>0</v>
      </c>
      <c r="AD179" s="1">
        <v>0</v>
      </c>
      <c r="AE179" s="1">
        <v>1</v>
      </c>
      <c r="AF179" s="1">
        <v>5</v>
      </c>
      <c r="AG179" s="8" t="s">
        <v>83</v>
      </c>
      <c r="AH179" s="1">
        <v>2</v>
      </c>
      <c r="AI179" s="6">
        <v>0.321</v>
      </c>
      <c r="AJ179" s="7">
        <v>37.3</v>
      </c>
      <c r="AK179" s="7">
        <v>57</v>
      </c>
    </row>
    <row r="180" s="1" customFormat="1" spans="1:37">
      <c r="A180" s="1">
        <v>222</v>
      </c>
      <c r="B180" s="1">
        <v>1</v>
      </c>
      <c r="C180" s="1">
        <v>74</v>
      </c>
      <c r="D180" s="1">
        <v>2</v>
      </c>
      <c r="E180" s="1">
        <v>2</v>
      </c>
      <c r="F180" s="1">
        <v>168</v>
      </c>
      <c r="G180" s="1">
        <v>70</v>
      </c>
      <c r="H180" s="1">
        <f t="shared" si="2"/>
        <v>24.8015873015873</v>
      </c>
      <c r="I180" s="1">
        <v>1</v>
      </c>
      <c r="J180" s="1">
        <v>1</v>
      </c>
      <c r="K180" s="1">
        <v>0</v>
      </c>
      <c r="L180" s="1">
        <v>0</v>
      </c>
      <c r="M180" s="1">
        <v>2</v>
      </c>
      <c r="N180" s="1">
        <v>3</v>
      </c>
      <c r="O180" s="1">
        <v>180</v>
      </c>
      <c r="P180" s="1">
        <v>261</v>
      </c>
      <c r="Q180" s="1">
        <v>1000</v>
      </c>
      <c r="R180" s="1">
        <v>100</v>
      </c>
      <c r="S180" s="1">
        <v>400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7</v>
      </c>
      <c r="AG180" s="1">
        <v>5</v>
      </c>
      <c r="AH180" s="1">
        <v>3</v>
      </c>
      <c r="AI180" s="6">
        <v>0.325</v>
      </c>
      <c r="AJ180" s="7">
        <v>31.4</v>
      </c>
      <c r="AK180" s="7">
        <v>164</v>
      </c>
    </row>
    <row r="181" s="1" customFormat="1" spans="1:37">
      <c r="A181" s="1">
        <v>223</v>
      </c>
      <c r="B181" s="1">
        <v>1</v>
      </c>
      <c r="C181" s="1">
        <v>86</v>
      </c>
      <c r="D181" s="1">
        <v>2</v>
      </c>
      <c r="E181" s="1">
        <v>2</v>
      </c>
      <c r="F181" s="1">
        <v>150</v>
      </c>
      <c r="G181" s="1">
        <v>50</v>
      </c>
      <c r="H181" s="1">
        <f t="shared" si="2"/>
        <v>22.2222222222222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2</v>
      </c>
      <c r="O181" s="1">
        <v>90</v>
      </c>
      <c r="P181" s="1">
        <v>129</v>
      </c>
      <c r="Q181" s="1">
        <v>500</v>
      </c>
      <c r="R181" s="1">
        <v>50</v>
      </c>
      <c r="S181" s="1">
        <v>300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4</v>
      </c>
      <c r="AG181" s="1">
        <v>4</v>
      </c>
      <c r="AH181" s="1">
        <v>2</v>
      </c>
      <c r="AI181" s="6">
        <v>0.313</v>
      </c>
      <c r="AJ181" s="7">
        <v>35.7</v>
      </c>
      <c r="AK181" s="7">
        <v>103</v>
      </c>
    </row>
    <row r="182" s="1" customFormat="1" spans="1:37">
      <c r="A182" s="1">
        <v>224</v>
      </c>
      <c r="B182" s="1">
        <v>2</v>
      </c>
      <c r="C182" s="1">
        <v>83</v>
      </c>
      <c r="D182" s="1">
        <v>2</v>
      </c>
      <c r="E182" s="1">
        <v>2</v>
      </c>
      <c r="F182" s="1">
        <v>161</v>
      </c>
      <c r="G182" s="1">
        <v>46</v>
      </c>
      <c r="H182" s="1">
        <f t="shared" si="2"/>
        <v>17.7462289263531</v>
      </c>
      <c r="I182" s="1">
        <v>1</v>
      </c>
      <c r="J182" s="1">
        <v>0</v>
      </c>
      <c r="K182" s="1">
        <v>0</v>
      </c>
      <c r="L182" s="1">
        <v>0</v>
      </c>
      <c r="M182" s="1">
        <v>2</v>
      </c>
      <c r="N182" s="1">
        <v>3</v>
      </c>
      <c r="O182" s="1">
        <v>60</v>
      </c>
      <c r="P182" s="1">
        <v>150</v>
      </c>
      <c r="Q182" s="1">
        <v>1000</v>
      </c>
      <c r="R182" s="1">
        <v>50</v>
      </c>
      <c r="S182" s="1">
        <v>200</v>
      </c>
      <c r="T182" s="1">
        <v>0</v>
      </c>
      <c r="U182" s="1">
        <v>0</v>
      </c>
      <c r="V182" s="1">
        <v>400</v>
      </c>
      <c r="W182" s="1">
        <v>0</v>
      </c>
      <c r="X182" s="1">
        <v>0</v>
      </c>
      <c r="Y182" s="1">
        <v>1</v>
      </c>
      <c r="Z182" s="1">
        <v>1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6</v>
      </c>
      <c r="AG182" s="1">
        <v>8</v>
      </c>
      <c r="AH182" s="1">
        <v>3</v>
      </c>
      <c r="AI182" s="6">
        <v>0.31</v>
      </c>
      <c r="AJ182" s="7">
        <v>40.9</v>
      </c>
      <c r="AK182" s="7">
        <v>73</v>
      </c>
    </row>
    <row r="183" s="1" customFormat="1" spans="1:37">
      <c r="A183" s="1">
        <v>225</v>
      </c>
      <c r="B183" s="1">
        <v>2</v>
      </c>
      <c r="C183" s="1">
        <v>81</v>
      </c>
      <c r="D183" s="1">
        <v>3</v>
      </c>
      <c r="E183" s="1">
        <v>1</v>
      </c>
      <c r="F183" s="1">
        <v>155</v>
      </c>
      <c r="G183" s="1">
        <v>60</v>
      </c>
      <c r="H183" s="1">
        <f t="shared" si="2"/>
        <v>24.9739854318418</v>
      </c>
      <c r="I183" s="1">
        <v>1</v>
      </c>
      <c r="J183" s="1">
        <v>0</v>
      </c>
      <c r="K183" s="1">
        <v>1</v>
      </c>
      <c r="L183" s="1">
        <v>1</v>
      </c>
      <c r="M183" s="1">
        <v>2</v>
      </c>
      <c r="N183" s="1">
        <v>3</v>
      </c>
      <c r="O183" s="1">
        <v>70</v>
      </c>
      <c r="P183" s="1">
        <v>185</v>
      </c>
      <c r="Q183" s="1">
        <v>700</v>
      </c>
      <c r="R183" s="1">
        <v>200</v>
      </c>
      <c r="S183" s="1">
        <v>350</v>
      </c>
      <c r="T183" s="1">
        <v>0</v>
      </c>
      <c r="U183" s="1">
        <v>0</v>
      </c>
      <c r="V183" s="1">
        <v>0</v>
      </c>
      <c r="W183" s="1">
        <v>400</v>
      </c>
      <c r="X183" s="1">
        <v>0</v>
      </c>
      <c r="Y183" s="1">
        <v>1</v>
      </c>
      <c r="Z183" s="1">
        <v>1</v>
      </c>
      <c r="AA183" s="1">
        <v>3</v>
      </c>
      <c r="AB183" s="1">
        <v>1</v>
      </c>
      <c r="AC183" s="1">
        <v>0</v>
      </c>
      <c r="AD183" s="1">
        <v>0</v>
      </c>
      <c r="AE183" s="1">
        <v>0</v>
      </c>
      <c r="AF183" s="1">
        <v>5</v>
      </c>
      <c r="AG183" s="1">
        <v>7</v>
      </c>
      <c r="AH183" s="1">
        <v>2</v>
      </c>
      <c r="AI183" s="6">
        <v>0.331</v>
      </c>
      <c r="AJ183" s="7">
        <v>40.6</v>
      </c>
      <c r="AK183" s="7">
        <v>48</v>
      </c>
    </row>
    <row r="184" s="1" customFormat="1" spans="1:37">
      <c r="A184" s="1">
        <v>226</v>
      </c>
      <c r="B184" s="1">
        <v>1</v>
      </c>
      <c r="C184" s="1">
        <v>82</v>
      </c>
      <c r="D184" s="1">
        <v>2</v>
      </c>
      <c r="E184" s="1">
        <v>2</v>
      </c>
      <c r="F184" s="1">
        <v>174</v>
      </c>
      <c r="G184" s="1">
        <v>70</v>
      </c>
      <c r="H184" s="1">
        <f t="shared" si="2"/>
        <v>23.1206235962479</v>
      </c>
      <c r="I184" s="1">
        <v>1</v>
      </c>
      <c r="J184" s="1">
        <v>1</v>
      </c>
      <c r="K184" s="1">
        <v>0</v>
      </c>
      <c r="L184" s="1">
        <v>1</v>
      </c>
      <c r="M184" s="1">
        <v>1</v>
      </c>
      <c r="N184" s="1">
        <v>2</v>
      </c>
      <c r="O184" s="1">
        <v>60</v>
      </c>
      <c r="P184" s="1">
        <v>124</v>
      </c>
      <c r="Q184" s="1">
        <v>600</v>
      </c>
      <c r="R184" s="1">
        <v>20</v>
      </c>
      <c r="S184" s="1">
        <v>100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</v>
      </c>
      <c r="AD184" s="1">
        <v>0</v>
      </c>
      <c r="AE184" s="1">
        <v>0</v>
      </c>
      <c r="AF184" s="1">
        <v>2</v>
      </c>
      <c r="AG184" s="1">
        <v>3</v>
      </c>
      <c r="AH184" s="1">
        <v>1</v>
      </c>
      <c r="AI184" s="6">
        <v>0.378</v>
      </c>
      <c r="AJ184" s="7">
        <v>40.7</v>
      </c>
      <c r="AK184" s="7">
        <v>51</v>
      </c>
    </row>
    <row r="185" s="1" customFormat="1" spans="1:37">
      <c r="A185" s="1">
        <v>227</v>
      </c>
      <c r="B185" s="1">
        <v>2</v>
      </c>
      <c r="C185" s="1">
        <v>82</v>
      </c>
      <c r="D185" s="1">
        <v>2</v>
      </c>
      <c r="E185" s="1">
        <v>2</v>
      </c>
      <c r="F185" s="1">
        <v>155</v>
      </c>
      <c r="G185" s="1">
        <v>55</v>
      </c>
      <c r="H185" s="1">
        <f t="shared" si="2"/>
        <v>22.8928199791883</v>
      </c>
      <c r="I185" s="1">
        <v>1</v>
      </c>
      <c r="J185" s="1">
        <v>1</v>
      </c>
      <c r="K185" s="1">
        <v>0</v>
      </c>
      <c r="L185" s="1">
        <v>0</v>
      </c>
      <c r="M185" s="1">
        <v>2</v>
      </c>
      <c r="N185" s="1">
        <v>3</v>
      </c>
      <c r="O185" s="1">
        <v>60</v>
      </c>
      <c r="P185" s="1">
        <v>126</v>
      </c>
      <c r="Q185" s="1">
        <v>600</v>
      </c>
      <c r="R185" s="1">
        <v>0</v>
      </c>
      <c r="S185" s="1">
        <v>0</v>
      </c>
      <c r="T185" s="1">
        <v>0</v>
      </c>
      <c r="U185" s="1">
        <v>0</v>
      </c>
      <c r="V185" s="1">
        <v>400</v>
      </c>
      <c r="W185" s="1">
        <v>400</v>
      </c>
      <c r="X185" s="1">
        <v>0</v>
      </c>
      <c r="Y185" s="1">
        <v>1</v>
      </c>
      <c r="Z185" s="1">
        <v>1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2</v>
      </c>
      <c r="AG185" s="1">
        <v>13</v>
      </c>
      <c r="AH185" s="1">
        <v>2</v>
      </c>
      <c r="AI185" s="6">
        <v>0.31</v>
      </c>
      <c r="AJ185" s="7">
        <v>38.5</v>
      </c>
      <c r="AK185" s="7">
        <v>54</v>
      </c>
    </row>
    <row r="186" s="1" customFormat="1" spans="1:37">
      <c r="A186" s="1">
        <v>228</v>
      </c>
      <c r="B186" s="1">
        <v>2</v>
      </c>
      <c r="C186" s="1">
        <v>87</v>
      </c>
      <c r="D186" s="1">
        <v>2</v>
      </c>
      <c r="E186" s="1">
        <v>2</v>
      </c>
      <c r="F186" s="1">
        <v>158</v>
      </c>
      <c r="G186" s="1">
        <v>50</v>
      </c>
      <c r="H186" s="1">
        <f t="shared" si="2"/>
        <v>20.0288415318058</v>
      </c>
      <c r="I186" s="1">
        <v>1</v>
      </c>
      <c r="J186" s="1">
        <v>0</v>
      </c>
      <c r="K186" s="1">
        <v>0</v>
      </c>
      <c r="L186" s="1">
        <v>1</v>
      </c>
      <c r="M186" s="1">
        <v>2</v>
      </c>
      <c r="N186" s="1">
        <v>3</v>
      </c>
      <c r="O186" s="1">
        <v>40</v>
      </c>
      <c r="P186" s="1">
        <v>122</v>
      </c>
      <c r="Q186" s="1">
        <v>700</v>
      </c>
      <c r="R186" s="1">
        <v>20</v>
      </c>
      <c r="S186" s="1">
        <v>100</v>
      </c>
      <c r="T186" s="1">
        <v>0</v>
      </c>
      <c r="U186" s="1">
        <v>0</v>
      </c>
      <c r="V186" s="1">
        <v>400</v>
      </c>
      <c r="W186" s="1">
        <v>400</v>
      </c>
      <c r="X186" s="1">
        <v>0</v>
      </c>
      <c r="Y186" s="1">
        <v>1</v>
      </c>
      <c r="Z186" s="1">
        <v>1</v>
      </c>
      <c r="AA186" s="1">
        <v>2</v>
      </c>
      <c r="AB186" s="1">
        <v>0</v>
      </c>
      <c r="AC186" s="1">
        <v>0</v>
      </c>
      <c r="AD186" s="1">
        <v>0</v>
      </c>
      <c r="AE186" s="1">
        <v>0</v>
      </c>
      <c r="AF186" s="1">
        <v>2</v>
      </c>
      <c r="AG186" s="1">
        <v>7</v>
      </c>
      <c r="AH186" s="1">
        <v>2</v>
      </c>
      <c r="AI186" s="6">
        <v>0.276</v>
      </c>
      <c r="AJ186" s="7">
        <v>36.5</v>
      </c>
      <c r="AK186" s="7">
        <v>70</v>
      </c>
    </row>
    <row r="187" s="1" customFormat="1" spans="1:37">
      <c r="A187" s="1">
        <v>229</v>
      </c>
      <c r="B187" s="1">
        <v>2</v>
      </c>
      <c r="C187" s="1">
        <v>82</v>
      </c>
      <c r="D187" s="1">
        <v>2</v>
      </c>
      <c r="E187" s="1">
        <v>2</v>
      </c>
      <c r="F187" s="1">
        <v>155</v>
      </c>
      <c r="G187" s="1">
        <v>60</v>
      </c>
      <c r="H187" s="1">
        <f t="shared" si="2"/>
        <v>24.9739854318418</v>
      </c>
      <c r="I187" s="1">
        <v>1</v>
      </c>
      <c r="J187" s="1">
        <v>1</v>
      </c>
      <c r="K187" s="1">
        <v>0</v>
      </c>
      <c r="L187" s="1">
        <v>0</v>
      </c>
      <c r="M187" s="1">
        <v>1</v>
      </c>
      <c r="N187" s="1">
        <v>2</v>
      </c>
      <c r="O187" s="1">
        <v>60</v>
      </c>
      <c r="P187" s="1">
        <v>114</v>
      </c>
      <c r="Q187" s="1">
        <v>400</v>
      </c>
      <c r="R187" s="1">
        <v>30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1</v>
      </c>
      <c r="AD187" s="1">
        <v>0</v>
      </c>
      <c r="AE187" s="1">
        <v>0</v>
      </c>
      <c r="AF187" s="1">
        <v>4</v>
      </c>
      <c r="AG187" s="1">
        <v>4</v>
      </c>
      <c r="AH187" s="1">
        <v>1</v>
      </c>
      <c r="AI187" s="6">
        <v>0.431</v>
      </c>
      <c r="AJ187" s="7">
        <v>35.4</v>
      </c>
      <c r="AK187" s="7">
        <v>51</v>
      </c>
    </row>
    <row r="188" s="1" customFormat="1" spans="1:37">
      <c r="A188" s="1">
        <v>230</v>
      </c>
      <c r="B188" s="1">
        <v>2</v>
      </c>
      <c r="C188" s="1">
        <v>81</v>
      </c>
      <c r="D188" s="1">
        <v>3</v>
      </c>
      <c r="E188" s="1">
        <v>2</v>
      </c>
      <c r="F188" s="1">
        <v>148</v>
      </c>
      <c r="G188" s="1">
        <v>48</v>
      </c>
      <c r="H188" s="1">
        <f t="shared" si="2"/>
        <v>21.9138056975895</v>
      </c>
      <c r="I188" s="1">
        <v>1</v>
      </c>
      <c r="J188" s="1">
        <v>0</v>
      </c>
      <c r="K188" s="1">
        <v>1</v>
      </c>
      <c r="L188" s="1">
        <v>0</v>
      </c>
      <c r="M188" s="1">
        <v>2</v>
      </c>
      <c r="N188" s="1">
        <v>3</v>
      </c>
      <c r="O188" s="1">
        <v>60</v>
      </c>
      <c r="P188" s="1">
        <v>124</v>
      </c>
      <c r="Q188" s="1">
        <v>1000</v>
      </c>
      <c r="R188" s="1">
        <v>100</v>
      </c>
      <c r="S188" s="1">
        <v>250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11</v>
      </c>
      <c r="AG188" s="8" t="s">
        <v>84</v>
      </c>
      <c r="AH188" s="1">
        <v>2</v>
      </c>
      <c r="AI188" s="1">
        <v>0.336</v>
      </c>
      <c r="AJ188" s="7">
        <v>39</v>
      </c>
      <c r="AK188" s="7">
        <v>52</v>
      </c>
    </row>
    <row r="189" s="1" customFormat="1" spans="1:37">
      <c r="A189" s="1">
        <v>231</v>
      </c>
      <c r="B189" s="1">
        <v>2</v>
      </c>
      <c r="C189" s="1">
        <v>87</v>
      </c>
      <c r="D189" s="1">
        <v>3</v>
      </c>
      <c r="E189" s="1">
        <v>2</v>
      </c>
      <c r="F189" s="1">
        <v>157</v>
      </c>
      <c r="G189" s="1">
        <v>47</v>
      </c>
      <c r="H189" s="1">
        <f t="shared" si="2"/>
        <v>19.0677106576332</v>
      </c>
      <c r="I189" s="1">
        <v>0</v>
      </c>
      <c r="J189" s="1">
        <v>0</v>
      </c>
      <c r="K189" s="1">
        <v>1</v>
      </c>
      <c r="L189" s="1">
        <v>1</v>
      </c>
      <c r="M189" s="1">
        <v>2</v>
      </c>
      <c r="N189" s="1">
        <v>3</v>
      </c>
      <c r="O189" s="1">
        <v>110</v>
      </c>
      <c r="P189" s="1">
        <v>184</v>
      </c>
      <c r="Q189" s="1">
        <v>1800</v>
      </c>
      <c r="R189" s="1">
        <v>200</v>
      </c>
      <c r="S189" s="1">
        <v>250</v>
      </c>
      <c r="T189" s="1">
        <v>0</v>
      </c>
      <c r="U189" s="1">
        <v>0</v>
      </c>
      <c r="V189" s="1">
        <v>200</v>
      </c>
      <c r="W189" s="1">
        <v>200</v>
      </c>
      <c r="X189" s="1">
        <v>0</v>
      </c>
      <c r="Y189" s="1">
        <v>1</v>
      </c>
      <c r="Z189" s="1">
        <v>1</v>
      </c>
      <c r="AA189" s="1">
        <v>8</v>
      </c>
      <c r="AB189" s="1">
        <v>0</v>
      </c>
      <c r="AC189" s="1">
        <v>0</v>
      </c>
      <c r="AD189" s="1">
        <v>0</v>
      </c>
      <c r="AE189" s="1">
        <v>0</v>
      </c>
      <c r="AF189" s="1">
        <v>8</v>
      </c>
      <c r="AG189" s="1">
        <v>10</v>
      </c>
      <c r="AH189" s="1">
        <v>2</v>
      </c>
      <c r="AI189" s="6">
        <v>0.214</v>
      </c>
      <c r="AJ189" s="7">
        <v>38.1</v>
      </c>
      <c r="AK189" s="7">
        <v>59</v>
      </c>
    </row>
    <row r="190" s="1" customFormat="1" spans="1:37">
      <c r="A190" s="1">
        <v>232</v>
      </c>
      <c r="B190" s="1">
        <v>2</v>
      </c>
      <c r="C190" s="1">
        <v>65</v>
      </c>
      <c r="D190" s="1">
        <v>2</v>
      </c>
      <c r="E190" s="1">
        <v>2</v>
      </c>
      <c r="F190" s="1">
        <v>160</v>
      </c>
      <c r="G190" s="1">
        <v>50</v>
      </c>
      <c r="H190" s="1">
        <f t="shared" si="2"/>
        <v>19.53125</v>
      </c>
      <c r="I190" s="1">
        <v>0</v>
      </c>
      <c r="J190" s="1">
        <v>0</v>
      </c>
      <c r="K190" s="8">
        <v>0</v>
      </c>
      <c r="L190" s="1">
        <v>0</v>
      </c>
      <c r="M190" s="1">
        <v>1</v>
      </c>
      <c r="N190" s="1">
        <v>2</v>
      </c>
      <c r="O190" s="1">
        <v>60</v>
      </c>
      <c r="P190" s="1">
        <v>120</v>
      </c>
      <c r="Q190" s="1">
        <v>500</v>
      </c>
      <c r="R190" s="1">
        <v>20</v>
      </c>
      <c r="S190" s="1">
        <v>300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1</v>
      </c>
      <c r="AB190" s="1">
        <v>0</v>
      </c>
      <c r="AC190" s="1">
        <v>1</v>
      </c>
      <c r="AD190" s="1">
        <v>0</v>
      </c>
      <c r="AE190" s="1">
        <v>0</v>
      </c>
      <c r="AF190" s="1">
        <v>3</v>
      </c>
      <c r="AG190" s="1">
        <v>16</v>
      </c>
      <c r="AH190" s="1">
        <v>2</v>
      </c>
      <c r="AI190" s="6">
        <v>0.28</v>
      </c>
      <c r="AJ190" s="7">
        <v>29.8</v>
      </c>
      <c r="AK190" s="7">
        <v>42</v>
      </c>
    </row>
    <row r="191" s="1" customFormat="1" spans="1:37">
      <c r="A191" s="1">
        <v>233</v>
      </c>
      <c r="B191" s="1">
        <v>2</v>
      </c>
      <c r="C191" s="1">
        <v>89</v>
      </c>
      <c r="D191" s="1">
        <v>3</v>
      </c>
      <c r="E191" s="1">
        <v>2</v>
      </c>
      <c r="F191" s="1">
        <v>158</v>
      </c>
      <c r="G191" s="1">
        <v>65</v>
      </c>
      <c r="H191" s="1">
        <f t="shared" si="2"/>
        <v>26.0374939913475</v>
      </c>
      <c r="I191" s="1">
        <v>1</v>
      </c>
      <c r="J191" s="1">
        <v>1</v>
      </c>
      <c r="K191" s="1">
        <v>1</v>
      </c>
      <c r="L191" s="1">
        <v>0</v>
      </c>
      <c r="M191" s="1">
        <v>1</v>
      </c>
      <c r="N191" s="1">
        <v>2</v>
      </c>
      <c r="O191" s="1">
        <v>80</v>
      </c>
      <c r="P191" s="1">
        <v>140</v>
      </c>
      <c r="Q191" s="1">
        <v>400</v>
      </c>
      <c r="R191" s="1">
        <v>20</v>
      </c>
      <c r="S191" s="1">
        <v>100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2</v>
      </c>
      <c r="AB191" s="1">
        <v>0</v>
      </c>
      <c r="AC191" s="1">
        <v>1</v>
      </c>
      <c r="AD191" s="1">
        <v>0</v>
      </c>
      <c r="AE191" s="1">
        <v>0</v>
      </c>
      <c r="AF191" s="1">
        <v>2</v>
      </c>
      <c r="AG191" s="1">
        <v>6</v>
      </c>
      <c r="AH191" s="1">
        <v>1</v>
      </c>
      <c r="AI191" s="6">
        <v>0.35</v>
      </c>
      <c r="AJ191" s="7">
        <v>37.1</v>
      </c>
      <c r="AK191" s="7">
        <v>51</v>
      </c>
    </row>
    <row r="192" s="1" customFormat="1" spans="1:37">
      <c r="A192" s="1">
        <v>234</v>
      </c>
      <c r="B192" s="1">
        <v>2</v>
      </c>
      <c r="C192" s="1">
        <v>92</v>
      </c>
      <c r="D192" s="1">
        <v>4</v>
      </c>
      <c r="E192" s="1">
        <v>2</v>
      </c>
      <c r="F192" s="1">
        <v>160</v>
      </c>
      <c r="G192" s="1">
        <v>45</v>
      </c>
      <c r="H192" s="1">
        <f t="shared" si="2"/>
        <v>17.578125</v>
      </c>
      <c r="I192" s="1">
        <v>1</v>
      </c>
      <c r="J192" s="1">
        <v>0</v>
      </c>
      <c r="K192" s="1">
        <v>0</v>
      </c>
      <c r="L192" s="1">
        <v>1</v>
      </c>
      <c r="M192" s="1">
        <v>3</v>
      </c>
      <c r="N192" s="1">
        <v>3</v>
      </c>
      <c r="O192" s="1">
        <v>130</v>
      </c>
      <c r="P192" s="1">
        <v>204</v>
      </c>
      <c r="Q192" s="1">
        <v>1000</v>
      </c>
      <c r="R192" s="1">
        <v>100</v>
      </c>
      <c r="S192" s="1">
        <v>0</v>
      </c>
      <c r="T192" s="1">
        <v>0</v>
      </c>
      <c r="U192" s="1">
        <v>0</v>
      </c>
      <c r="V192" s="1">
        <v>200</v>
      </c>
      <c r="X192" s="1">
        <v>0</v>
      </c>
      <c r="Y192" s="1">
        <v>1</v>
      </c>
      <c r="Z192" s="1">
        <v>1</v>
      </c>
      <c r="AA192" s="1">
        <v>0</v>
      </c>
      <c r="AB192" s="1">
        <v>1</v>
      </c>
      <c r="AC192" s="1">
        <v>1</v>
      </c>
      <c r="AD192" s="1">
        <v>0</v>
      </c>
      <c r="AE192" s="1">
        <v>1</v>
      </c>
      <c r="AF192" s="1">
        <v>7</v>
      </c>
      <c r="AG192" s="1">
        <v>28</v>
      </c>
      <c r="AH192" s="1">
        <v>4</v>
      </c>
      <c r="AI192" s="6">
        <v>0.209</v>
      </c>
      <c r="AJ192" s="7">
        <v>28</v>
      </c>
      <c r="AK192" s="7">
        <v>67</v>
      </c>
    </row>
    <row r="193" s="1" customFormat="1" spans="1:37">
      <c r="A193" s="1">
        <v>235</v>
      </c>
      <c r="B193" s="1">
        <v>2</v>
      </c>
      <c r="C193" s="1">
        <v>66</v>
      </c>
      <c r="D193" s="1">
        <v>2</v>
      </c>
      <c r="E193" s="1">
        <v>2</v>
      </c>
      <c r="F193" s="1">
        <v>150</v>
      </c>
      <c r="G193" s="1">
        <v>64</v>
      </c>
      <c r="H193" s="1">
        <f t="shared" si="2"/>
        <v>28.4444444444444</v>
      </c>
      <c r="I193" s="1">
        <v>0</v>
      </c>
      <c r="J193" s="1">
        <v>0</v>
      </c>
      <c r="K193" s="1">
        <v>0</v>
      </c>
      <c r="L193" s="1">
        <v>0</v>
      </c>
      <c r="M193" s="1">
        <v>2</v>
      </c>
      <c r="N193" s="1">
        <v>3</v>
      </c>
      <c r="O193" s="1">
        <v>100</v>
      </c>
      <c r="P193" s="1">
        <v>158</v>
      </c>
      <c r="Q193" s="1">
        <v>1500</v>
      </c>
      <c r="R193" s="1">
        <v>350</v>
      </c>
      <c r="S193" s="1">
        <v>200</v>
      </c>
      <c r="T193" s="1">
        <v>0</v>
      </c>
      <c r="U193" s="1">
        <v>0</v>
      </c>
      <c r="V193" s="1">
        <v>400</v>
      </c>
      <c r="W193" s="1">
        <v>200</v>
      </c>
      <c r="X193" s="1">
        <v>0</v>
      </c>
      <c r="Y193" s="1">
        <v>1</v>
      </c>
      <c r="Z193" s="1">
        <v>1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5</v>
      </c>
      <c r="AG193" s="1">
        <v>9</v>
      </c>
      <c r="AH193" s="1">
        <v>2</v>
      </c>
      <c r="AI193" s="9">
        <v>0.31</v>
      </c>
      <c r="AJ193" s="7">
        <v>32.9</v>
      </c>
      <c r="AK193" s="7">
        <v>28</v>
      </c>
    </row>
    <row r="194" s="1" customFormat="1" spans="1:37">
      <c r="A194" s="1">
        <v>236</v>
      </c>
      <c r="B194" s="1">
        <v>1</v>
      </c>
      <c r="C194" s="1">
        <v>84</v>
      </c>
      <c r="D194" s="1">
        <v>3</v>
      </c>
      <c r="E194" s="1">
        <v>2</v>
      </c>
      <c r="F194" s="1">
        <v>176</v>
      </c>
      <c r="G194" s="1">
        <v>70</v>
      </c>
      <c r="H194" s="1">
        <f t="shared" ref="H194:H246" si="3">G194/(F194/100)^2</f>
        <v>22.5981404958678</v>
      </c>
      <c r="I194" s="1">
        <v>1</v>
      </c>
      <c r="J194" s="1">
        <v>0</v>
      </c>
      <c r="K194" s="1">
        <v>1</v>
      </c>
      <c r="L194" s="1">
        <v>0</v>
      </c>
      <c r="M194" s="1">
        <v>2</v>
      </c>
      <c r="N194" s="1">
        <v>3</v>
      </c>
      <c r="O194" s="1">
        <v>130</v>
      </c>
      <c r="P194" s="1">
        <v>220</v>
      </c>
      <c r="Q194" s="1">
        <v>1750</v>
      </c>
      <c r="R194" s="1">
        <v>800</v>
      </c>
      <c r="S194" s="1">
        <v>200</v>
      </c>
      <c r="T194" s="1">
        <v>0</v>
      </c>
      <c r="U194" s="1">
        <v>0</v>
      </c>
      <c r="V194" s="1">
        <v>400</v>
      </c>
      <c r="W194" s="1">
        <v>400</v>
      </c>
      <c r="X194" s="1">
        <v>0</v>
      </c>
      <c r="Y194" s="1">
        <v>1</v>
      </c>
      <c r="Z194" s="1">
        <v>1</v>
      </c>
      <c r="AA194" s="1">
        <v>3</v>
      </c>
      <c r="AB194" s="1">
        <v>1</v>
      </c>
      <c r="AC194" s="1">
        <v>1</v>
      </c>
      <c r="AD194" s="1">
        <v>0</v>
      </c>
      <c r="AE194" s="1">
        <v>0</v>
      </c>
      <c r="AF194" s="1">
        <v>8</v>
      </c>
      <c r="AG194" s="1">
        <v>12</v>
      </c>
      <c r="AH194" s="1">
        <v>2</v>
      </c>
      <c r="AI194" s="6">
        <v>0.35</v>
      </c>
      <c r="AJ194" s="7">
        <v>28.9</v>
      </c>
      <c r="AK194" s="7">
        <v>50</v>
      </c>
    </row>
    <row r="195" s="1" customFormat="1" spans="1:37">
      <c r="A195" s="1">
        <v>237</v>
      </c>
      <c r="B195" s="1">
        <v>2</v>
      </c>
      <c r="C195" s="1">
        <v>78</v>
      </c>
      <c r="D195" s="1">
        <v>2</v>
      </c>
      <c r="E195" s="1">
        <v>2</v>
      </c>
      <c r="F195" s="1">
        <v>156</v>
      </c>
      <c r="G195" s="1">
        <v>60</v>
      </c>
      <c r="H195" s="1">
        <f t="shared" si="3"/>
        <v>24.65483234714</v>
      </c>
      <c r="I195" s="1">
        <v>1</v>
      </c>
      <c r="J195" s="1">
        <v>0</v>
      </c>
      <c r="K195" s="1">
        <v>0</v>
      </c>
      <c r="L195" s="1">
        <v>1</v>
      </c>
      <c r="M195" s="1">
        <v>3</v>
      </c>
      <c r="N195" s="1">
        <v>3</v>
      </c>
      <c r="O195" s="1">
        <v>120</v>
      </c>
      <c r="P195" s="1">
        <v>202</v>
      </c>
      <c r="Q195" s="1">
        <v>1400</v>
      </c>
      <c r="R195" s="1">
        <v>200</v>
      </c>
      <c r="S195" s="1">
        <v>500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2</v>
      </c>
      <c r="AB195" s="1">
        <v>0</v>
      </c>
      <c r="AC195" s="1">
        <v>0</v>
      </c>
      <c r="AD195" s="1">
        <v>0</v>
      </c>
      <c r="AE195" s="1">
        <v>0</v>
      </c>
      <c r="AF195" s="1">
        <v>5</v>
      </c>
      <c r="AG195" s="1">
        <v>7</v>
      </c>
      <c r="AH195" s="1">
        <v>3</v>
      </c>
      <c r="AI195" s="6">
        <v>0.281</v>
      </c>
      <c r="AJ195" s="7">
        <v>29.1</v>
      </c>
      <c r="AK195" s="7">
        <v>57</v>
      </c>
    </row>
    <row r="196" s="1" customFormat="1" spans="1:37">
      <c r="A196" s="1">
        <v>238</v>
      </c>
      <c r="B196" s="1">
        <v>2</v>
      </c>
      <c r="C196" s="1">
        <v>78</v>
      </c>
      <c r="D196" s="1">
        <v>3</v>
      </c>
      <c r="E196" s="1">
        <v>2</v>
      </c>
      <c r="F196" s="1">
        <v>160</v>
      </c>
      <c r="G196" s="1">
        <v>50</v>
      </c>
      <c r="H196" s="1">
        <f t="shared" si="3"/>
        <v>19.53125</v>
      </c>
      <c r="I196" s="1">
        <v>1</v>
      </c>
      <c r="J196" s="1">
        <v>0</v>
      </c>
      <c r="K196" s="8">
        <v>0</v>
      </c>
      <c r="L196" s="1">
        <v>1</v>
      </c>
      <c r="M196" s="1">
        <v>2</v>
      </c>
      <c r="N196" s="1">
        <v>3</v>
      </c>
      <c r="O196" s="1">
        <v>90</v>
      </c>
      <c r="P196" s="1">
        <v>143</v>
      </c>
      <c r="Q196" s="1">
        <v>900</v>
      </c>
      <c r="R196" s="1">
        <v>50</v>
      </c>
      <c r="S196" s="1">
        <v>100</v>
      </c>
      <c r="T196" s="1">
        <v>0</v>
      </c>
      <c r="U196" s="1">
        <v>0</v>
      </c>
      <c r="V196" s="1">
        <v>0</v>
      </c>
      <c r="W196" s="1">
        <v>400</v>
      </c>
      <c r="X196" s="1">
        <v>0</v>
      </c>
      <c r="Y196" s="1">
        <v>1</v>
      </c>
      <c r="Z196" s="1">
        <v>1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4</v>
      </c>
      <c r="AG196" s="1">
        <v>7</v>
      </c>
      <c r="AH196" s="1">
        <v>3</v>
      </c>
      <c r="AI196" s="6">
        <v>0.284</v>
      </c>
      <c r="AJ196" s="7">
        <v>32.8</v>
      </c>
      <c r="AK196" s="7">
        <v>60</v>
      </c>
    </row>
    <row r="197" s="1" customFormat="1" spans="1:37">
      <c r="A197" s="1">
        <v>239</v>
      </c>
      <c r="B197" s="1">
        <v>1</v>
      </c>
      <c r="C197" s="1">
        <v>70</v>
      </c>
      <c r="D197" s="1">
        <v>3</v>
      </c>
      <c r="E197" s="1">
        <v>1</v>
      </c>
      <c r="F197" s="1">
        <v>168</v>
      </c>
      <c r="G197" s="1">
        <v>70</v>
      </c>
      <c r="H197" s="1">
        <f t="shared" si="3"/>
        <v>24.8015873015873</v>
      </c>
      <c r="I197" s="1">
        <v>1</v>
      </c>
      <c r="J197" s="1">
        <v>0</v>
      </c>
      <c r="K197" s="1">
        <v>0</v>
      </c>
      <c r="L197" s="1">
        <v>0</v>
      </c>
      <c r="M197" s="1">
        <v>2</v>
      </c>
      <c r="N197" s="1">
        <v>3</v>
      </c>
      <c r="O197" s="1">
        <v>90</v>
      </c>
      <c r="P197" s="1">
        <v>150</v>
      </c>
      <c r="Q197" s="1">
        <v>1300</v>
      </c>
      <c r="R197" s="1">
        <v>200</v>
      </c>
      <c r="S197" s="1">
        <v>300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  <c r="AB197" s="1">
        <v>1</v>
      </c>
      <c r="AC197" s="1">
        <v>0</v>
      </c>
      <c r="AD197" s="1">
        <v>0</v>
      </c>
      <c r="AE197" s="1">
        <v>1</v>
      </c>
      <c r="AF197" s="1">
        <v>5</v>
      </c>
      <c r="AG197" s="1">
        <v>7</v>
      </c>
      <c r="AH197" s="1">
        <v>0</v>
      </c>
      <c r="AI197" s="6">
        <v>0.424</v>
      </c>
      <c r="AJ197" s="7">
        <v>38.9</v>
      </c>
      <c r="AK197" s="7">
        <v>78</v>
      </c>
    </row>
    <row r="198" s="1" customFormat="1" spans="1:37">
      <c r="A198" s="1">
        <v>240</v>
      </c>
      <c r="B198" s="1">
        <v>2</v>
      </c>
      <c r="C198" s="1">
        <v>75</v>
      </c>
      <c r="D198" s="1">
        <v>3</v>
      </c>
      <c r="E198" s="1">
        <v>2</v>
      </c>
      <c r="F198" s="1">
        <v>155</v>
      </c>
      <c r="G198" s="1">
        <v>55</v>
      </c>
      <c r="H198" s="1">
        <f t="shared" si="3"/>
        <v>22.8928199791883</v>
      </c>
      <c r="I198" s="1">
        <v>0</v>
      </c>
      <c r="J198" s="1">
        <v>0</v>
      </c>
      <c r="K198" s="8">
        <v>0</v>
      </c>
      <c r="L198" s="1">
        <v>0</v>
      </c>
      <c r="M198" s="8">
        <v>4</v>
      </c>
      <c r="N198" s="1">
        <v>5</v>
      </c>
      <c r="O198" s="1">
        <v>180</v>
      </c>
      <c r="P198" s="1">
        <v>294</v>
      </c>
      <c r="Q198" s="1">
        <v>2000</v>
      </c>
      <c r="R198" s="1">
        <v>600</v>
      </c>
      <c r="S198" s="1">
        <v>500</v>
      </c>
      <c r="T198" s="1">
        <v>600</v>
      </c>
      <c r="U198" s="1">
        <v>400</v>
      </c>
      <c r="V198" s="1">
        <v>600</v>
      </c>
      <c r="W198" s="1">
        <v>0</v>
      </c>
      <c r="X198" s="1">
        <v>1</v>
      </c>
      <c r="Y198" s="1">
        <v>1</v>
      </c>
      <c r="Z198" s="1">
        <v>1</v>
      </c>
      <c r="AA198" s="1">
        <v>6</v>
      </c>
      <c r="AB198" s="1">
        <v>0</v>
      </c>
      <c r="AC198" s="1">
        <v>0</v>
      </c>
      <c r="AD198" s="1">
        <v>0</v>
      </c>
      <c r="AE198" s="1">
        <v>1</v>
      </c>
      <c r="AF198" s="1">
        <v>5</v>
      </c>
      <c r="AG198" s="1">
        <v>6</v>
      </c>
      <c r="AH198" s="1">
        <v>3</v>
      </c>
      <c r="AI198" s="6">
        <v>0.277</v>
      </c>
      <c r="AJ198" s="7">
        <v>29.3</v>
      </c>
      <c r="AK198" s="7">
        <v>36</v>
      </c>
    </row>
    <row r="199" s="1" customFormat="1" spans="1:37">
      <c r="A199" s="1">
        <v>241</v>
      </c>
      <c r="B199" s="1">
        <v>1</v>
      </c>
      <c r="C199" s="1">
        <v>87</v>
      </c>
      <c r="D199" s="1">
        <v>3</v>
      </c>
      <c r="E199" s="1">
        <v>2</v>
      </c>
      <c r="F199" s="1">
        <v>174</v>
      </c>
      <c r="G199" s="1">
        <v>65</v>
      </c>
      <c r="H199" s="1">
        <f t="shared" si="3"/>
        <v>21.4691504822301</v>
      </c>
      <c r="I199" s="1">
        <v>0</v>
      </c>
      <c r="J199" s="1">
        <v>0</v>
      </c>
      <c r="K199" s="1">
        <v>1</v>
      </c>
      <c r="L199" s="1">
        <v>0</v>
      </c>
      <c r="M199" s="1">
        <v>2</v>
      </c>
      <c r="N199" s="1">
        <v>3</v>
      </c>
      <c r="O199" s="1">
        <v>60</v>
      </c>
      <c r="P199" s="1">
        <v>138</v>
      </c>
      <c r="Q199" s="1">
        <v>900</v>
      </c>
      <c r="R199" s="1">
        <v>50</v>
      </c>
      <c r="S199" s="1">
        <v>300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2</v>
      </c>
      <c r="AG199" s="8" t="s">
        <v>85</v>
      </c>
      <c r="AH199" s="1">
        <v>1</v>
      </c>
      <c r="AI199" s="6">
        <v>0.355</v>
      </c>
      <c r="AJ199" s="7">
        <v>36.5</v>
      </c>
      <c r="AK199" s="7">
        <v>61</v>
      </c>
    </row>
    <row r="200" s="1" customFormat="1" spans="1:37">
      <c r="A200" s="1">
        <v>242</v>
      </c>
      <c r="B200" s="1">
        <v>2</v>
      </c>
      <c r="C200" s="1">
        <v>84</v>
      </c>
      <c r="D200" s="1">
        <v>2</v>
      </c>
      <c r="E200" s="1">
        <v>1</v>
      </c>
      <c r="F200" s="1">
        <v>150</v>
      </c>
      <c r="G200" s="1">
        <v>45</v>
      </c>
      <c r="H200" s="1">
        <f t="shared" si="3"/>
        <v>20</v>
      </c>
      <c r="I200" s="1">
        <v>1</v>
      </c>
      <c r="J200" s="1">
        <v>0</v>
      </c>
      <c r="K200" s="8">
        <v>0</v>
      </c>
      <c r="L200" s="1">
        <v>0</v>
      </c>
      <c r="M200" s="1">
        <v>2</v>
      </c>
      <c r="N200" s="1">
        <v>3</v>
      </c>
      <c r="O200" s="1">
        <v>60</v>
      </c>
      <c r="P200" s="1">
        <v>184</v>
      </c>
      <c r="Q200" s="1">
        <v>1200</v>
      </c>
      <c r="R200" s="1">
        <v>150</v>
      </c>
      <c r="S200" s="1">
        <v>100</v>
      </c>
      <c r="T200" s="1">
        <v>200</v>
      </c>
      <c r="U200" s="1">
        <v>0</v>
      </c>
      <c r="V200" s="1">
        <v>0</v>
      </c>
      <c r="W200" s="1">
        <v>0</v>
      </c>
      <c r="X200" s="1">
        <v>1</v>
      </c>
      <c r="Y200" s="1">
        <v>0</v>
      </c>
      <c r="Z200" s="1">
        <v>1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>
        <v>5</v>
      </c>
      <c r="AG200" s="1">
        <v>16</v>
      </c>
      <c r="AH200" s="1">
        <v>3</v>
      </c>
      <c r="AI200" s="6">
        <v>0.245</v>
      </c>
      <c r="AJ200" s="7">
        <v>33.4</v>
      </c>
      <c r="AK200" s="7">
        <v>72</v>
      </c>
    </row>
    <row r="201" s="1" customFormat="1" spans="1:37">
      <c r="A201" s="1">
        <v>243</v>
      </c>
      <c r="B201" s="1">
        <v>2</v>
      </c>
      <c r="C201" s="1">
        <v>78</v>
      </c>
      <c r="D201" s="1">
        <v>2</v>
      </c>
      <c r="E201" s="1">
        <v>1</v>
      </c>
      <c r="F201" s="1">
        <v>155</v>
      </c>
      <c r="G201" s="1">
        <v>41</v>
      </c>
      <c r="H201" s="1">
        <f t="shared" si="3"/>
        <v>17.0655567117586</v>
      </c>
      <c r="I201" s="1">
        <v>0</v>
      </c>
      <c r="J201" s="1">
        <v>0</v>
      </c>
      <c r="K201" s="8">
        <v>0</v>
      </c>
      <c r="L201" s="1">
        <v>0</v>
      </c>
      <c r="M201" s="1">
        <v>2</v>
      </c>
      <c r="N201" s="1">
        <v>3</v>
      </c>
      <c r="O201" s="1">
        <v>75</v>
      </c>
      <c r="P201" s="1">
        <v>198</v>
      </c>
      <c r="Q201" s="1">
        <v>1200</v>
      </c>
      <c r="R201" s="1">
        <v>30</v>
      </c>
      <c r="S201" s="1">
        <v>100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4</v>
      </c>
      <c r="AG201" s="1">
        <v>4</v>
      </c>
      <c r="AH201" s="1">
        <v>4</v>
      </c>
      <c r="AI201" s="6">
        <v>0.186</v>
      </c>
      <c r="AJ201" s="7">
        <v>30.1</v>
      </c>
      <c r="AK201" s="7">
        <v>65</v>
      </c>
    </row>
    <row r="202" s="1" customFormat="1" spans="1:37">
      <c r="A202" s="1">
        <v>244</v>
      </c>
      <c r="B202" s="1">
        <v>1</v>
      </c>
      <c r="C202" s="1">
        <v>66</v>
      </c>
      <c r="D202" s="1">
        <v>3</v>
      </c>
      <c r="E202" s="1">
        <v>2</v>
      </c>
      <c r="F202" s="1">
        <v>174</v>
      </c>
      <c r="G202" s="1">
        <v>49</v>
      </c>
      <c r="H202" s="1">
        <f t="shared" si="3"/>
        <v>16.1844365173735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2</v>
      </c>
      <c r="O202" s="1">
        <v>100</v>
      </c>
      <c r="P202" s="1">
        <v>175</v>
      </c>
      <c r="Q202" s="1">
        <v>700</v>
      </c>
      <c r="R202" s="1">
        <v>50</v>
      </c>
      <c r="S202" s="1">
        <v>200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5</v>
      </c>
      <c r="AG202" s="1">
        <v>5</v>
      </c>
      <c r="AH202" s="1">
        <v>2</v>
      </c>
      <c r="AI202" s="6">
        <v>0.322</v>
      </c>
      <c r="AJ202" s="7">
        <v>34</v>
      </c>
      <c r="AK202" s="7">
        <v>87</v>
      </c>
    </row>
    <row r="203" s="1" customFormat="1" spans="1:37">
      <c r="A203" s="1">
        <v>245</v>
      </c>
      <c r="B203" s="1">
        <v>2</v>
      </c>
      <c r="C203" s="1">
        <v>85</v>
      </c>
      <c r="D203" s="1">
        <v>3</v>
      </c>
      <c r="E203" s="1">
        <v>2</v>
      </c>
      <c r="F203" s="1">
        <v>165</v>
      </c>
      <c r="G203" s="1">
        <v>45</v>
      </c>
      <c r="H203" s="1">
        <f t="shared" si="3"/>
        <v>16.5289256198347</v>
      </c>
      <c r="I203" s="1">
        <v>0</v>
      </c>
      <c r="J203" s="1">
        <v>0</v>
      </c>
      <c r="K203" s="8">
        <v>1</v>
      </c>
      <c r="L203" s="1">
        <v>0</v>
      </c>
      <c r="M203" s="1">
        <v>3</v>
      </c>
      <c r="N203" s="1">
        <v>3</v>
      </c>
      <c r="O203" s="1">
        <v>70</v>
      </c>
      <c r="P203" s="1">
        <v>113</v>
      </c>
      <c r="Q203" s="1">
        <v>700</v>
      </c>
      <c r="R203" s="1">
        <v>0</v>
      </c>
      <c r="S203" s="1">
        <v>80</v>
      </c>
      <c r="T203" s="1">
        <v>0</v>
      </c>
      <c r="U203" s="1">
        <v>0</v>
      </c>
      <c r="V203" s="1">
        <v>400</v>
      </c>
      <c r="W203" s="1">
        <v>0</v>
      </c>
      <c r="X203" s="1">
        <v>0</v>
      </c>
      <c r="Y203" s="1">
        <v>1</v>
      </c>
      <c r="Z203" s="1">
        <v>1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5</v>
      </c>
      <c r="AG203" s="1">
        <v>5</v>
      </c>
      <c r="AH203" s="1">
        <v>3</v>
      </c>
      <c r="AI203" s="6">
        <v>0.317</v>
      </c>
      <c r="AJ203" s="7">
        <v>38.4</v>
      </c>
      <c r="AK203" s="7">
        <v>48</v>
      </c>
    </row>
    <row r="204" s="1" customFormat="1" spans="1:37">
      <c r="A204" s="8">
        <v>246</v>
      </c>
      <c r="B204" s="8">
        <v>2</v>
      </c>
      <c r="C204" s="8">
        <v>86</v>
      </c>
      <c r="D204" s="8">
        <v>2</v>
      </c>
      <c r="E204" s="8">
        <v>2</v>
      </c>
      <c r="F204" s="8">
        <v>165</v>
      </c>
      <c r="G204" s="8">
        <v>52</v>
      </c>
      <c r="H204" s="1">
        <f t="shared" si="3"/>
        <v>19.1000918273646</v>
      </c>
      <c r="I204" s="8">
        <v>1</v>
      </c>
      <c r="J204" s="1">
        <v>0</v>
      </c>
      <c r="K204" s="1">
        <v>1</v>
      </c>
      <c r="L204" s="1">
        <v>0</v>
      </c>
      <c r="M204" s="8">
        <v>2</v>
      </c>
      <c r="N204" s="8">
        <v>3</v>
      </c>
      <c r="O204" s="8">
        <v>60</v>
      </c>
      <c r="P204" s="8">
        <v>115</v>
      </c>
      <c r="Q204" s="8">
        <v>900</v>
      </c>
      <c r="R204" s="8">
        <v>20</v>
      </c>
      <c r="S204" s="8">
        <v>100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8">
        <v>1</v>
      </c>
      <c r="AB204" s="8">
        <v>0</v>
      </c>
      <c r="AC204" s="1">
        <v>0</v>
      </c>
      <c r="AD204" s="1">
        <v>0</v>
      </c>
      <c r="AE204" s="1">
        <v>0</v>
      </c>
      <c r="AF204" s="8">
        <v>4</v>
      </c>
      <c r="AG204" s="8">
        <v>13</v>
      </c>
      <c r="AH204" s="1">
        <v>2</v>
      </c>
      <c r="AI204" s="6">
        <v>0.289</v>
      </c>
      <c r="AJ204" s="7">
        <v>34.8</v>
      </c>
      <c r="AK204" s="7">
        <v>45</v>
      </c>
    </row>
    <row r="205" s="1" customFormat="1" spans="1:37">
      <c r="A205" s="1">
        <v>247</v>
      </c>
      <c r="B205" s="1">
        <v>1</v>
      </c>
      <c r="C205" s="1">
        <v>82</v>
      </c>
      <c r="D205" s="1">
        <v>2</v>
      </c>
      <c r="E205" s="1">
        <v>2</v>
      </c>
      <c r="F205" s="1">
        <v>178</v>
      </c>
      <c r="G205" s="1">
        <v>81</v>
      </c>
      <c r="H205" s="1">
        <f t="shared" si="3"/>
        <v>25.5649539199596</v>
      </c>
      <c r="I205" s="1">
        <v>1</v>
      </c>
      <c r="J205" s="1">
        <v>0</v>
      </c>
      <c r="K205" s="1">
        <v>0</v>
      </c>
      <c r="L205" s="1">
        <v>1</v>
      </c>
      <c r="M205" s="1">
        <v>2</v>
      </c>
      <c r="N205" s="1">
        <v>3</v>
      </c>
      <c r="O205" s="1">
        <v>60</v>
      </c>
      <c r="P205" s="1">
        <v>134</v>
      </c>
      <c r="Q205" s="1">
        <v>1600</v>
      </c>
      <c r="R205" s="1">
        <v>50</v>
      </c>
      <c r="S205" s="1">
        <v>300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2</v>
      </c>
      <c r="AB205" s="1">
        <v>0</v>
      </c>
      <c r="AC205" s="1">
        <v>0</v>
      </c>
      <c r="AD205" s="1">
        <v>0</v>
      </c>
      <c r="AE205" s="1">
        <v>0</v>
      </c>
      <c r="AF205" s="1">
        <v>4</v>
      </c>
      <c r="AG205" s="1">
        <v>11</v>
      </c>
      <c r="AH205" s="1">
        <v>1</v>
      </c>
      <c r="AI205" s="6">
        <v>0.368</v>
      </c>
      <c r="AJ205" s="7">
        <v>37.4</v>
      </c>
      <c r="AK205" s="7">
        <v>94</v>
      </c>
    </row>
    <row r="206" s="1" customFormat="1" spans="1:37">
      <c r="A206" s="1">
        <v>248</v>
      </c>
      <c r="B206" s="1">
        <v>2</v>
      </c>
      <c r="C206" s="1">
        <v>83</v>
      </c>
      <c r="D206" s="1">
        <v>2</v>
      </c>
      <c r="E206" s="1">
        <v>2</v>
      </c>
      <c r="F206" s="1">
        <v>165</v>
      </c>
      <c r="G206" s="1">
        <v>65</v>
      </c>
      <c r="H206" s="1">
        <f t="shared" si="3"/>
        <v>23.8751147842057</v>
      </c>
      <c r="I206" s="1">
        <v>1</v>
      </c>
      <c r="J206" s="1">
        <v>1</v>
      </c>
      <c r="K206" s="1">
        <v>0</v>
      </c>
      <c r="L206" s="1">
        <v>1</v>
      </c>
      <c r="M206" s="1">
        <v>2</v>
      </c>
      <c r="N206" s="1">
        <v>3</v>
      </c>
      <c r="O206" s="1">
        <v>85</v>
      </c>
      <c r="P206" s="1">
        <v>178</v>
      </c>
      <c r="Q206" s="1">
        <v>1200</v>
      </c>
      <c r="R206" s="1">
        <v>100</v>
      </c>
      <c r="S206" s="1">
        <v>100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4</v>
      </c>
      <c r="AG206" s="1">
        <v>10</v>
      </c>
      <c r="AH206" s="1">
        <v>2</v>
      </c>
      <c r="AI206" s="6">
        <v>0.314</v>
      </c>
      <c r="AJ206" s="7">
        <v>39.6</v>
      </c>
      <c r="AK206" s="7">
        <v>61</v>
      </c>
    </row>
    <row r="207" s="1" customFormat="1" spans="1:37">
      <c r="A207" s="1">
        <v>249</v>
      </c>
      <c r="B207" s="1">
        <v>2</v>
      </c>
      <c r="C207" s="1">
        <v>83</v>
      </c>
      <c r="D207" s="1">
        <v>2</v>
      </c>
      <c r="E207" s="1">
        <v>1</v>
      </c>
      <c r="F207" s="1">
        <v>155</v>
      </c>
      <c r="G207" s="1">
        <v>68</v>
      </c>
      <c r="H207" s="1">
        <f t="shared" si="3"/>
        <v>28.3038501560874</v>
      </c>
      <c r="I207" s="1">
        <v>1</v>
      </c>
      <c r="J207" s="1">
        <v>1</v>
      </c>
      <c r="K207" s="8">
        <v>0</v>
      </c>
      <c r="L207" s="1">
        <v>1</v>
      </c>
      <c r="M207" s="1">
        <v>2</v>
      </c>
      <c r="N207" s="1">
        <v>3</v>
      </c>
      <c r="O207" s="1">
        <v>80</v>
      </c>
      <c r="P207" s="1">
        <v>185</v>
      </c>
      <c r="Q207" s="1">
        <v>900</v>
      </c>
      <c r="R207" s="1">
        <v>50</v>
      </c>
      <c r="S207" s="1">
        <v>100</v>
      </c>
      <c r="T207" s="1">
        <v>0</v>
      </c>
      <c r="U207" s="1">
        <v>0</v>
      </c>
      <c r="V207" s="1">
        <v>400</v>
      </c>
      <c r="W207" s="1">
        <v>0</v>
      </c>
      <c r="X207" s="1">
        <v>0</v>
      </c>
      <c r="Y207" s="1">
        <v>1</v>
      </c>
      <c r="Z207" s="1">
        <v>1</v>
      </c>
      <c r="AA207" s="1">
        <v>0</v>
      </c>
      <c r="AB207" s="1">
        <v>1</v>
      </c>
      <c r="AC207" s="1">
        <v>0</v>
      </c>
      <c r="AD207" s="1">
        <v>0</v>
      </c>
      <c r="AE207" s="1">
        <v>0</v>
      </c>
      <c r="AF207" s="1">
        <v>7</v>
      </c>
      <c r="AG207" s="1">
        <v>10</v>
      </c>
      <c r="AH207" s="1">
        <v>1</v>
      </c>
      <c r="AI207" s="6">
        <v>0.392</v>
      </c>
      <c r="AJ207" s="7">
        <v>37.9</v>
      </c>
      <c r="AK207" s="7">
        <v>68</v>
      </c>
    </row>
    <row r="208" s="1" customFormat="1" spans="1:37">
      <c r="A208" s="1">
        <v>250</v>
      </c>
      <c r="B208" s="1">
        <v>1</v>
      </c>
      <c r="C208" s="1">
        <v>87</v>
      </c>
      <c r="D208" s="1">
        <v>2</v>
      </c>
      <c r="E208" s="1">
        <v>2</v>
      </c>
      <c r="F208" s="1">
        <v>174</v>
      </c>
      <c r="G208" s="1">
        <v>70</v>
      </c>
      <c r="H208" s="1">
        <f t="shared" si="3"/>
        <v>23.1206235962479</v>
      </c>
      <c r="I208" s="1">
        <v>1</v>
      </c>
      <c r="J208" s="1">
        <v>0</v>
      </c>
      <c r="K208" s="8">
        <v>0</v>
      </c>
      <c r="L208" s="1">
        <v>0</v>
      </c>
      <c r="M208" s="1">
        <v>2</v>
      </c>
      <c r="N208" s="1">
        <v>3</v>
      </c>
      <c r="O208" s="1">
        <v>120</v>
      </c>
      <c r="P208" s="1">
        <v>191</v>
      </c>
      <c r="Q208" s="1">
        <v>1200</v>
      </c>
      <c r="R208" s="1">
        <v>100</v>
      </c>
      <c r="S208" s="1">
        <v>100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0</v>
      </c>
      <c r="AE208" s="1">
        <v>1</v>
      </c>
      <c r="AF208" s="1">
        <v>6</v>
      </c>
      <c r="AG208" s="1">
        <v>12</v>
      </c>
      <c r="AH208" s="1">
        <v>3</v>
      </c>
      <c r="AI208" s="6">
        <v>0.289</v>
      </c>
      <c r="AJ208" s="7">
        <v>32.8</v>
      </c>
      <c r="AK208" s="7">
        <v>92</v>
      </c>
    </row>
    <row r="209" s="1" customFormat="1" spans="1:37">
      <c r="A209" s="1">
        <v>251</v>
      </c>
      <c r="B209" s="1">
        <v>2</v>
      </c>
      <c r="C209" s="1">
        <v>77</v>
      </c>
      <c r="D209" s="1">
        <v>2</v>
      </c>
      <c r="E209" s="1">
        <v>2</v>
      </c>
      <c r="F209" s="1">
        <v>163</v>
      </c>
      <c r="G209" s="1">
        <v>80</v>
      </c>
      <c r="H209" s="1">
        <f t="shared" si="3"/>
        <v>30.1102788964583</v>
      </c>
      <c r="I209" s="1">
        <v>0</v>
      </c>
      <c r="J209" s="1">
        <v>1</v>
      </c>
      <c r="K209" s="8">
        <v>0</v>
      </c>
      <c r="L209" s="1">
        <v>0</v>
      </c>
      <c r="M209" s="1">
        <v>2</v>
      </c>
      <c r="N209" s="1">
        <v>3</v>
      </c>
      <c r="O209" s="1">
        <v>60</v>
      </c>
      <c r="P209" s="1">
        <v>165</v>
      </c>
      <c r="Q209" s="1">
        <v>1300</v>
      </c>
      <c r="R209" s="1">
        <v>100</v>
      </c>
      <c r="S209" s="1">
        <v>200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2</v>
      </c>
      <c r="AG209" s="1">
        <v>13</v>
      </c>
      <c r="AH209" s="1">
        <v>2</v>
      </c>
      <c r="AI209" s="6">
        <v>0.293</v>
      </c>
      <c r="AJ209" s="7">
        <v>36.8</v>
      </c>
      <c r="AK209" s="7">
        <v>49</v>
      </c>
    </row>
    <row r="210" s="1" customFormat="1" spans="1:37">
      <c r="A210" s="1">
        <v>252</v>
      </c>
      <c r="B210" s="1">
        <v>2</v>
      </c>
      <c r="C210" s="1">
        <v>72</v>
      </c>
      <c r="D210" s="1">
        <v>2</v>
      </c>
      <c r="E210" s="1">
        <v>2</v>
      </c>
      <c r="F210" s="1">
        <v>165</v>
      </c>
      <c r="G210" s="1">
        <v>70</v>
      </c>
      <c r="H210" s="1">
        <f t="shared" si="3"/>
        <v>25.7116620752984</v>
      </c>
      <c r="I210" s="1">
        <v>1</v>
      </c>
      <c r="J210" s="1">
        <v>0</v>
      </c>
      <c r="K210" s="8">
        <v>0</v>
      </c>
      <c r="L210" s="1">
        <v>0</v>
      </c>
      <c r="M210" s="1">
        <v>2</v>
      </c>
      <c r="N210" s="1">
        <v>3</v>
      </c>
      <c r="O210" s="1">
        <v>100</v>
      </c>
      <c r="P210" s="1">
        <v>207</v>
      </c>
      <c r="Q210" s="1">
        <v>1200</v>
      </c>
      <c r="R210" s="1">
        <v>20</v>
      </c>
      <c r="S210" s="1">
        <v>300</v>
      </c>
      <c r="T210" s="1">
        <v>200</v>
      </c>
      <c r="U210" s="1">
        <v>0</v>
      </c>
      <c r="V210" s="1">
        <v>0</v>
      </c>
      <c r="W210" s="1">
        <v>0</v>
      </c>
      <c r="X210" s="1">
        <v>1</v>
      </c>
      <c r="Y210" s="1">
        <v>0</v>
      </c>
      <c r="Z210" s="1">
        <v>1</v>
      </c>
      <c r="AA210" s="1">
        <v>2</v>
      </c>
      <c r="AB210" s="1">
        <v>0</v>
      </c>
      <c r="AC210" s="1">
        <v>0</v>
      </c>
      <c r="AD210" s="1">
        <v>0</v>
      </c>
      <c r="AE210" s="1">
        <v>0</v>
      </c>
      <c r="AF210" s="1">
        <v>4</v>
      </c>
      <c r="AG210" s="1">
        <v>16</v>
      </c>
      <c r="AH210" s="1">
        <v>2</v>
      </c>
      <c r="AI210" s="6">
        <v>0.26</v>
      </c>
      <c r="AJ210" s="7">
        <v>36</v>
      </c>
      <c r="AK210" s="7">
        <v>55</v>
      </c>
    </row>
    <row r="211" s="1" customFormat="1" spans="1:37">
      <c r="A211" s="1">
        <v>253</v>
      </c>
      <c r="B211" s="1">
        <v>1</v>
      </c>
      <c r="C211" s="1">
        <v>69</v>
      </c>
      <c r="D211" s="1">
        <v>3</v>
      </c>
      <c r="E211" s="1">
        <v>2</v>
      </c>
      <c r="F211" s="1">
        <v>160</v>
      </c>
      <c r="G211" s="1">
        <v>70</v>
      </c>
      <c r="H211" s="1">
        <f t="shared" si="3"/>
        <v>27.34375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3</v>
      </c>
      <c r="O211" s="1">
        <v>60</v>
      </c>
      <c r="P211" s="1">
        <v>191</v>
      </c>
      <c r="Q211" s="1">
        <v>1300</v>
      </c>
      <c r="R211" s="1">
        <v>20</v>
      </c>
      <c r="S211" s="1">
        <v>200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5</v>
      </c>
      <c r="AB211" s="1">
        <v>0</v>
      </c>
      <c r="AC211" s="1">
        <v>0</v>
      </c>
      <c r="AD211" s="1">
        <v>0</v>
      </c>
      <c r="AE211" s="1">
        <v>0</v>
      </c>
      <c r="AF211" s="1">
        <v>4</v>
      </c>
      <c r="AG211" s="1">
        <v>8</v>
      </c>
      <c r="AH211" s="1">
        <v>2</v>
      </c>
      <c r="AI211" s="9">
        <v>0.265</v>
      </c>
      <c r="AJ211" s="7">
        <v>32.2</v>
      </c>
      <c r="AK211" s="7">
        <v>59</v>
      </c>
    </row>
    <row r="212" s="1" customFormat="1" spans="1:37">
      <c r="A212" s="1">
        <v>254</v>
      </c>
      <c r="B212" s="1">
        <v>2</v>
      </c>
      <c r="C212" s="1">
        <v>77</v>
      </c>
      <c r="D212" s="1">
        <v>4</v>
      </c>
      <c r="E212" s="1">
        <v>1</v>
      </c>
      <c r="F212" s="1">
        <v>163</v>
      </c>
      <c r="G212" s="1">
        <v>60</v>
      </c>
      <c r="H212" s="1">
        <f t="shared" si="3"/>
        <v>22.5827091723437</v>
      </c>
      <c r="I212" s="1">
        <v>0</v>
      </c>
      <c r="J212" s="1">
        <v>0</v>
      </c>
      <c r="K212" s="1">
        <v>1</v>
      </c>
      <c r="L212" s="1">
        <v>0</v>
      </c>
      <c r="M212" s="1">
        <v>2</v>
      </c>
      <c r="N212" s="1">
        <v>3</v>
      </c>
      <c r="O212" s="1">
        <v>70</v>
      </c>
      <c r="P212" s="1">
        <v>189</v>
      </c>
      <c r="Q212" s="1">
        <v>500</v>
      </c>
      <c r="R212" s="1">
        <v>200</v>
      </c>
      <c r="S212" s="1">
        <v>1900</v>
      </c>
      <c r="T212" s="1">
        <v>400</v>
      </c>
      <c r="U212" s="1">
        <v>0</v>
      </c>
      <c r="V212" s="1">
        <v>0</v>
      </c>
      <c r="W212" s="1">
        <v>0</v>
      </c>
      <c r="X212" s="1">
        <v>1</v>
      </c>
      <c r="Y212" s="1">
        <v>0</v>
      </c>
      <c r="Z212" s="1">
        <v>1</v>
      </c>
      <c r="AA212" s="1">
        <v>1</v>
      </c>
      <c r="AB212" s="1">
        <v>1</v>
      </c>
      <c r="AC212" s="1">
        <v>0</v>
      </c>
      <c r="AD212" s="1">
        <v>1</v>
      </c>
      <c r="AE212" s="1">
        <v>0</v>
      </c>
      <c r="AF212" s="1">
        <v>6</v>
      </c>
      <c r="AG212" s="1">
        <v>10</v>
      </c>
      <c r="AH212" s="1">
        <v>3</v>
      </c>
      <c r="AI212" s="1">
        <v>0.273</v>
      </c>
      <c r="AJ212" s="7">
        <v>33.2</v>
      </c>
      <c r="AK212" s="7">
        <v>49</v>
      </c>
    </row>
    <row r="213" s="1" customFormat="1" spans="1:37">
      <c r="A213" s="1">
        <v>255</v>
      </c>
      <c r="B213" s="1">
        <v>1</v>
      </c>
      <c r="C213" s="1">
        <v>70</v>
      </c>
      <c r="D213" s="1">
        <v>2</v>
      </c>
      <c r="E213" s="1">
        <v>2</v>
      </c>
      <c r="F213" s="1">
        <v>176</v>
      </c>
      <c r="G213" s="1">
        <v>50</v>
      </c>
      <c r="H213" s="1">
        <f t="shared" si="3"/>
        <v>16.1415289256198</v>
      </c>
      <c r="I213" s="1">
        <v>0</v>
      </c>
      <c r="J213" s="1">
        <v>0</v>
      </c>
      <c r="K213" s="8">
        <v>0</v>
      </c>
      <c r="L213" s="1">
        <v>0</v>
      </c>
      <c r="M213" s="11">
        <v>2</v>
      </c>
      <c r="N213" s="1">
        <v>3</v>
      </c>
      <c r="O213" s="1">
        <v>140</v>
      </c>
      <c r="P213" s="1">
        <v>220</v>
      </c>
      <c r="Q213" s="1">
        <v>1200</v>
      </c>
      <c r="R213" s="1">
        <v>600</v>
      </c>
      <c r="S213" s="1">
        <v>400</v>
      </c>
      <c r="T213" s="1">
        <v>400</v>
      </c>
      <c r="U213" s="1">
        <v>0</v>
      </c>
      <c r="V213" s="1">
        <v>0</v>
      </c>
      <c r="W213" s="1">
        <v>0</v>
      </c>
      <c r="X213" s="1">
        <v>1</v>
      </c>
      <c r="Y213" s="1">
        <v>0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10</v>
      </c>
      <c r="AG213" s="1">
        <v>18</v>
      </c>
      <c r="AH213" s="1">
        <v>2</v>
      </c>
      <c r="AI213" s="6">
        <v>0.306</v>
      </c>
      <c r="AJ213" s="7">
        <v>34.4</v>
      </c>
      <c r="AK213" s="7">
        <v>61</v>
      </c>
    </row>
    <row r="214" s="1" customFormat="1" spans="1:37">
      <c r="A214" s="1">
        <v>256</v>
      </c>
      <c r="B214" s="1">
        <v>1</v>
      </c>
      <c r="C214" s="1">
        <v>85</v>
      </c>
      <c r="D214" s="1">
        <v>2</v>
      </c>
      <c r="E214" s="1">
        <v>2</v>
      </c>
      <c r="F214" s="1">
        <v>165</v>
      </c>
      <c r="G214" s="1">
        <v>55</v>
      </c>
      <c r="H214" s="1">
        <f t="shared" si="3"/>
        <v>20.2020202020202</v>
      </c>
      <c r="I214" s="1">
        <v>0</v>
      </c>
      <c r="J214" s="1">
        <v>0</v>
      </c>
      <c r="K214" s="8">
        <v>0</v>
      </c>
      <c r="L214" s="1">
        <v>0</v>
      </c>
      <c r="M214" s="1">
        <v>2</v>
      </c>
      <c r="N214" s="1">
        <v>3</v>
      </c>
      <c r="O214" s="1">
        <v>70</v>
      </c>
      <c r="P214" s="1">
        <v>213</v>
      </c>
      <c r="Q214" s="1">
        <v>600</v>
      </c>
      <c r="R214" s="1">
        <v>200</v>
      </c>
      <c r="S214" s="1">
        <v>100</v>
      </c>
      <c r="T214" s="1">
        <v>0</v>
      </c>
      <c r="U214" s="1">
        <v>0</v>
      </c>
      <c r="V214" s="1">
        <v>600</v>
      </c>
      <c r="W214" s="1">
        <v>0</v>
      </c>
      <c r="X214" s="1">
        <v>0</v>
      </c>
      <c r="Y214" s="1">
        <v>1</v>
      </c>
      <c r="Z214" s="1">
        <v>1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4</v>
      </c>
      <c r="AG214" s="1">
        <v>13</v>
      </c>
      <c r="AH214" s="1">
        <v>3</v>
      </c>
      <c r="AI214" s="6">
        <v>0.26</v>
      </c>
      <c r="AJ214" s="7">
        <v>33.4</v>
      </c>
      <c r="AK214" s="7">
        <v>136</v>
      </c>
    </row>
    <row r="215" s="1" customFormat="1" spans="1:37">
      <c r="A215" s="1">
        <v>257</v>
      </c>
      <c r="B215" s="1">
        <v>2</v>
      </c>
      <c r="C215" s="1">
        <v>75</v>
      </c>
      <c r="D215" s="1">
        <v>2</v>
      </c>
      <c r="E215" s="1">
        <v>2</v>
      </c>
      <c r="F215" s="1">
        <v>152</v>
      </c>
      <c r="G215" s="1">
        <v>40</v>
      </c>
      <c r="H215" s="1">
        <f t="shared" si="3"/>
        <v>17.3130193905817</v>
      </c>
      <c r="I215" s="1">
        <v>0</v>
      </c>
      <c r="J215" s="1">
        <v>0</v>
      </c>
      <c r="K215" s="1">
        <v>0</v>
      </c>
      <c r="L215" s="1">
        <v>1</v>
      </c>
      <c r="M215" s="1">
        <v>2</v>
      </c>
      <c r="N215" s="1">
        <v>3</v>
      </c>
      <c r="O215" s="1">
        <v>90</v>
      </c>
      <c r="P215" s="1">
        <v>162</v>
      </c>
      <c r="Q215" s="1">
        <v>600</v>
      </c>
      <c r="R215" s="1">
        <v>200</v>
      </c>
      <c r="S215" s="1">
        <v>200</v>
      </c>
      <c r="T215" s="1">
        <v>0</v>
      </c>
      <c r="U215" s="1">
        <v>100</v>
      </c>
      <c r="V215" s="1">
        <v>400</v>
      </c>
      <c r="W215" s="1">
        <v>400</v>
      </c>
      <c r="X215" s="1">
        <v>1</v>
      </c>
      <c r="Y215" s="1">
        <v>1</v>
      </c>
      <c r="Z215" s="1">
        <v>1</v>
      </c>
      <c r="AA215" s="1">
        <v>0</v>
      </c>
      <c r="AB215" s="1">
        <v>0</v>
      </c>
      <c r="AC215" s="1">
        <v>0</v>
      </c>
      <c r="AD215" s="1">
        <v>0</v>
      </c>
      <c r="AE215" s="1">
        <v>1</v>
      </c>
      <c r="AF215" s="1">
        <v>11</v>
      </c>
      <c r="AG215" s="1">
        <v>5</v>
      </c>
      <c r="AH215" s="1">
        <v>4</v>
      </c>
      <c r="AI215" s="6">
        <v>0.242</v>
      </c>
      <c r="AJ215" s="7">
        <v>32.4</v>
      </c>
      <c r="AK215" s="7">
        <v>39</v>
      </c>
    </row>
    <row r="216" s="1" customFormat="1" spans="1:37">
      <c r="A216" s="1">
        <v>258</v>
      </c>
      <c r="B216" s="1">
        <v>2</v>
      </c>
      <c r="C216" s="1">
        <v>85</v>
      </c>
      <c r="D216" s="1">
        <v>2</v>
      </c>
      <c r="E216" s="1">
        <v>2</v>
      </c>
      <c r="F216" s="1">
        <v>160</v>
      </c>
      <c r="G216" s="1">
        <v>70</v>
      </c>
      <c r="H216" s="1">
        <f t="shared" si="3"/>
        <v>27.34375</v>
      </c>
      <c r="I216" s="1">
        <v>1</v>
      </c>
      <c r="J216" s="1">
        <v>0</v>
      </c>
      <c r="K216" s="8">
        <v>1</v>
      </c>
      <c r="L216" s="1">
        <v>1</v>
      </c>
      <c r="M216" s="8">
        <v>4</v>
      </c>
      <c r="N216" s="1">
        <v>5</v>
      </c>
      <c r="O216" s="1">
        <v>180</v>
      </c>
      <c r="P216" s="1">
        <v>268</v>
      </c>
      <c r="Q216" s="1">
        <v>1600</v>
      </c>
      <c r="R216" s="1">
        <v>150</v>
      </c>
      <c r="S216" s="1">
        <v>500</v>
      </c>
      <c r="T216" s="1">
        <v>0</v>
      </c>
      <c r="U216" s="1">
        <v>0</v>
      </c>
      <c r="V216" s="1">
        <v>200</v>
      </c>
      <c r="W216" s="1">
        <v>200</v>
      </c>
      <c r="X216" s="1">
        <v>0</v>
      </c>
      <c r="Y216" s="1">
        <v>1</v>
      </c>
      <c r="Z216" s="1">
        <v>1</v>
      </c>
      <c r="AA216" s="1">
        <v>2</v>
      </c>
      <c r="AB216" s="1">
        <v>0</v>
      </c>
      <c r="AC216" s="1">
        <v>0</v>
      </c>
      <c r="AD216" s="1">
        <v>0</v>
      </c>
      <c r="AE216" s="1">
        <v>0</v>
      </c>
      <c r="AF216" s="1">
        <v>5</v>
      </c>
      <c r="AG216" s="1">
        <v>8</v>
      </c>
      <c r="AH216" s="1">
        <v>3</v>
      </c>
      <c r="AI216" s="6">
        <v>0.31</v>
      </c>
      <c r="AJ216" s="7">
        <v>29.8</v>
      </c>
      <c r="AK216" s="7">
        <v>65</v>
      </c>
    </row>
    <row r="217" s="1" customFormat="1" spans="1:37">
      <c r="A217" s="1">
        <v>259</v>
      </c>
      <c r="B217" s="1">
        <v>2</v>
      </c>
      <c r="C217" s="1">
        <v>81</v>
      </c>
      <c r="D217" s="1">
        <v>2</v>
      </c>
      <c r="E217" s="1">
        <v>2</v>
      </c>
      <c r="F217" s="1">
        <v>154</v>
      </c>
      <c r="G217" s="1">
        <v>62</v>
      </c>
      <c r="H217" s="1">
        <f t="shared" si="3"/>
        <v>26.1426884803508</v>
      </c>
      <c r="I217" s="1">
        <v>1</v>
      </c>
      <c r="J217" s="1">
        <v>1</v>
      </c>
      <c r="K217" s="8">
        <v>0</v>
      </c>
      <c r="L217" s="1">
        <v>1</v>
      </c>
      <c r="M217" s="1">
        <v>2</v>
      </c>
      <c r="N217" s="1">
        <v>5</v>
      </c>
      <c r="O217" s="1">
        <v>60</v>
      </c>
      <c r="P217" s="1">
        <v>164</v>
      </c>
      <c r="Q217" s="1">
        <v>1300</v>
      </c>
      <c r="R217" s="1">
        <v>100</v>
      </c>
      <c r="S217" s="1">
        <v>300</v>
      </c>
      <c r="T217" s="1">
        <v>0</v>
      </c>
      <c r="U217" s="1">
        <v>0</v>
      </c>
      <c r="V217" s="1">
        <v>200</v>
      </c>
      <c r="W217" s="1">
        <v>0</v>
      </c>
      <c r="X217" s="1">
        <v>0</v>
      </c>
      <c r="Y217" s="1">
        <v>1</v>
      </c>
      <c r="Z217" s="1">
        <v>1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>
        <v>3</v>
      </c>
      <c r="AG217" s="1">
        <v>8</v>
      </c>
      <c r="AH217" s="1">
        <v>2</v>
      </c>
      <c r="AI217" s="6">
        <v>0.262</v>
      </c>
      <c r="AJ217" s="7">
        <v>34.7</v>
      </c>
      <c r="AK217" s="7">
        <v>50</v>
      </c>
    </row>
    <row r="218" s="1" customFormat="1" spans="1:37">
      <c r="A218" s="8">
        <v>261</v>
      </c>
      <c r="B218" s="8">
        <v>2</v>
      </c>
      <c r="C218" s="8">
        <v>76</v>
      </c>
      <c r="D218" s="8">
        <v>2</v>
      </c>
      <c r="E218" s="8">
        <v>1</v>
      </c>
      <c r="F218" s="1">
        <v>155</v>
      </c>
      <c r="G218" s="1">
        <v>60</v>
      </c>
      <c r="H218" s="1">
        <f t="shared" si="3"/>
        <v>24.9739854318418</v>
      </c>
      <c r="I218" s="8">
        <v>0</v>
      </c>
      <c r="J218" s="8">
        <v>0</v>
      </c>
      <c r="K218" s="8">
        <v>0</v>
      </c>
      <c r="L218" s="8">
        <v>0</v>
      </c>
      <c r="M218" s="8">
        <v>2</v>
      </c>
      <c r="N218" s="8">
        <v>5</v>
      </c>
      <c r="O218" s="8">
        <v>180</v>
      </c>
      <c r="P218" s="8">
        <v>230</v>
      </c>
      <c r="Q218" s="8">
        <v>2100</v>
      </c>
      <c r="R218" s="8">
        <v>500</v>
      </c>
      <c r="S218" s="8">
        <v>200</v>
      </c>
      <c r="T218" s="8">
        <v>400</v>
      </c>
      <c r="U218" s="8">
        <v>400</v>
      </c>
      <c r="V218" s="8">
        <v>400</v>
      </c>
      <c r="W218" s="8">
        <v>400</v>
      </c>
      <c r="X218" s="8">
        <v>1</v>
      </c>
      <c r="Y218" s="8">
        <v>1</v>
      </c>
      <c r="Z218" s="8">
        <v>1</v>
      </c>
      <c r="AA218" s="8">
        <v>0</v>
      </c>
      <c r="AB218" s="8">
        <v>0</v>
      </c>
      <c r="AC218" s="8">
        <v>0</v>
      </c>
      <c r="AD218" s="8">
        <v>0</v>
      </c>
      <c r="AE218" s="8">
        <v>1</v>
      </c>
      <c r="AF218" s="8">
        <v>2</v>
      </c>
      <c r="AG218" s="8">
        <v>8</v>
      </c>
      <c r="AH218" s="1">
        <v>2</v>
      </c>
      <c r="AI218" s="6">
        <v>0.306</v>
      </c>
      <c r="AJ218" s="7">
        <v>42.7</v>
      </c>
      <c r="AK218" s="7">
        <v>64</v>
      </c>
    </row>
    <row r="219" s="1" customFormat="1" spans="1:37">
      <c r="A219" s="8">
        <v>262</v>
      </c>
      <c r="B219" s="8">
        <v>1</v>
      </c>
      <c r="C219" s="8">
        <v>69</v>
      </c>
      <c r="D219" s="8">
        <v>2</v>
      </c>
      <c r="E219" s="8">
        <v>2</v>
      </c>
      <c r="F219" s="8">
        <v>160</v>
      </c>
      <c r="G219" s="8">
        <v>70</v>
      </c>
      <c r="H219" s="1">
        <f t="shared" si="3"/>
        <v>27.34375</v>
      </c>
      <c r="I219" s="8">
        <v>1</v>
      </c>
      <c r="J219" s="8">
        <v>1</v>
      </c>
      <c r="K219" s="8">
        <v>1</v>
      </c>
      <c r="L219" s="8">
        <v>1</v>
      </c>
      <c r="M219" s="8">
        <v>2</v>
      </c>
      <c r="N219" s="8">
        <v>3</v>
      </c>
      <c r="O219" s="8">
        <v>50</v>
      </c>
      <c r="P219" s="8">
        <v>164</v>
      </c>
      <c r="Q219" s="8">
        <v>1300</v>
      </c>
      <c r="R219" s="8">
        <v>80</v>
      </c>
      <c r="S219" s="8">
        <v>100</v>
      </c>
      <c r="T219" s="8">
        <v>200</v>
      </c>
      <c r="U219" s="8">
        <v>200</v>
      </c>
      <c r="V219" s="1">
        <v>0</v>
      </c>
      <c r="W219" s="8">
        <v>200</v>
      </c>
      <c r="X219" s="8">
        <v>1</v>
      </c>
      <c r="Y219" s="8">
        <v>1</v>
      </c>
      <c r="Z219" s="8">
        <v>1</v>
      </c>
      <c r="AA219" s="8">
        <v>3</v>
      </c>
      <c r="AB219" s="8">
        <v>0</v>
      </c>
      <c r="AC219" s="8">
        <v>0</v>
      </c>
      <c r="AD219" s="8">
        <v>0</v>
      </c>
      <c r="AE219" s="8">
        <v>1</v>
      </c>
      <c r="AF219" s="8">
        <v>3</v>
      </c>
      <c r="AG219" s="8">
        <v>25</v>
      </c>
      <c r="AH219" s="1">
        <v>1</v>
      </c>
      <c r="AI219" s="9">
        <v>0.269</v>
      </c>
      <c r="AJ219" s="7">
        <v>35.3</v>
      </c>
      <c r="AK219" s="7">
        <v>83</v>
      </c>
    </row>
    <row r="220" s="1" customFormat="1" spans="1:37">
      <c r="A220" s="1">
        <v>263</v>
      </c>
      <c r="B220" s="1">
        <v>1</v>
      </c>
      <c r="C220" s="1">
        <v>89</v>
      </c>
      <c r="D220" s="1">
        <v>2</v>
      </c>
      <c r="E220" s="1">
        <v>2</v>
      </c>
      <c r="F220" s="1">
        <v>158</v>
      </c>
      <c r="G220" s="1">
        <v>48</v>
      </c>
      <c r="H220" s="1">
        <f t="shared" si="3"/>
        <v>19.2276878705336</v>
      </c>
      <c r="I220" s="1">
        <v>0</v>
      </c>
      <c r="J220" s="1">
        <v>1</v>
      </c>
      <c r="K220" s="1">
        <v>0</v>
      </c>
      <c r="L220" s="1">
        <v>0</v>
      </c>
      <c r="M220" s="1">
        <v>2</v>
      </c>
      <c r="N220" s="1">
        <v>3</v>
      </c>
      <c r="O220" s="1">
        <v>50</v>
      </c>
      <c r="P220" s="1">
        <v>129</v>
      </c>
      <c r="Q220" s="1">
        <v>800</v>
      </c>
      <c r="R220" s="1">
        <v>100</v>
      </c>
      <c r="S220" s="1">
        <v>200</v>
      </c>
      <c r="T220" s="1">
        <v>200</v>
      </c>
      <c r="U220" s="1">
        <v>400</v>
      </c>
      <c r="V220" s="1">
        <v>0</v>
      </c>
      <c r="W220" s="1">
        <v>0</v>
      </c>
      <c r="X220" s="1">
        <v>1</v>
      </c>
      <c r="Y220" s="1">
        <v>0</v>
      </c>
      <c r="Z220" s="1">
        <v>0</v>
      </c>
      <c r="AA220" s="1">
        <v>2</v>
      </c>
      <c r="AB220" s="1">
        <v>0</v>
      </c>
      <c r="AC220" s="1">
        <v>0</v>
      </c>
      <c r="AD220" s="1">
        <v>0</v>
      </c>
      <c r="AE220" s="1">
        <v>0</v>
      </c>
      <c r="AF220" s="1">
        <v>6</v>
      </c>
      <c r="AG220" s="1">
        <v>8</v>
      </c>
      <c r="AH220" s="1">
        <v>1</v>
      </c>
      <c r="AI220" s="6">
        <v>0.397</v>
      </c>
      <c r="AJ220" s="7">
        <v>37.1</v>
      </c>
      <c r="AK220" s="7">
        <v>112</v>
      </c>
    </row>
    <row r="221" s="1" customFormat="1" spans="1:37">
      <c r="A221" s="1">
        <v>264</v>
      </c>
      <c r="B221" s="1">
        <v>1</v>
      </c>
      <c r="C221" s="1">
        <v>89</v>
      </c>
      <c r="D221" s="1">
        <v>2</v>
      </c>
      <c r="E221" s="1">
        <v>2</v>
      </c>
      <c r="F221" s="1">
        <v>165</v>
      </c>
      <c r="G221" s="1">
        <v>51</v>
      </c>
      <c r="H221" s="1">
        <f t="shared" si="3"/>
        <v>18.732782369146</v>
      </c>
      <c r="I221" s="1">
        <v>1</v>
      </c>
      <c r="J221" s="1">
        <v>0</v>
      </c>
      <c r="K221" s="1">
        <v>0</v>
      </c>
      <c r="L221" s="1">
        <v>1</v>
      </c>
      <c r="M221" s="1">
        <v>2</v>
      </c>
      <c r="N221" s="1">
        <v>3</v>
      </c>
      <c r="O221" s="1">
        <v>0</v>
      </c>
      <c r="P221" s="1">
        <v>144</v>
      </c>
      <c r="Q221" s="1">
        <v>200</v>
      </c>
      <c r="R221" s="1">
        <v>50</v>
      </c>
      <c r="S221" s="1">
        <v>200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1</v>
      </c>
      <c r="AD221" s="1">
        <v>0</v>
      </c>
      <c r="AE221" s="1">
        <v>0</v>
      </c>
      <c r="AF221" s="1">
        <v>15</v>
      </c>
      <c r="AG221" s="1">
        <v>17</v>
      </c>
      <c r="AH221" s="1">
        <v>3</v>
      </c>
      <c r="AI221" s="6">
        <v>0.318</v>
      </c>
      <c r="AJ221" s="7">
        <v>31.7</v>
      </c>
      <c r="AK221" s="7">
        <v>79</v>
      </c>
    </row>
    <row r="222" s="1" customFormat="1" spans="1:37">
      <c r="A222" s="1">
        <v>265</v>
      </c>
      <c r="B222" s="1">
        <v>2</v>
      </c>
      <c r="C222" s="1">
        <v>77</v>
      </c>
      <c r="D222" s="1">
        <v>2</v>
      </c>
      <c r="E222" s="1">
        <v>2</v>
      </c>
      <c r="F222" s="1">
        <v>154</v>
      </c>
      <c r="G222" s="1">
        <v>45</v>
      </c>
      <c r="H222" s="1">
        <f t="shared" si="3"/>
        <v>18.9745319615449</v>
      </c>
      <c r="I222" s="1">
        <v>0</v>
      </c>
      <c r="J222" s="1">
        <v>0</v>
      </c>
      <c r="K222" s="1">
        <v>0</v>
      </c>
      <c r="L222" s="1">
        <v>0</v>
      </c>
      <c r="M222" s="1">
        <v>2</v>
      </c>
      <c r="N222" s="1">
        <v>3</v>
      </c>
      <c r="O222" s="1">
        <v>90</v>
      </c>
      <c r="P222" s="1">
        <v>160</v>
      </c>
      <c r="Q222" s="1">
        <v>550</v>
      </c>
      <c r="R222" s="1">
        <v>100</v>
      </c>
      <c r="S222" s="1">
        <v>500</v>
      </c>
      <c r="T222" s="1">
        <v>0</v>
      </c>
      <c r="U222" s="1">
        <v>0</v>
      </c>
      <c r="V222" s="1">
        <v>200</v>
      </c>
      <c r="W222" s="1">
        <v>0</v>
      </c>
      <c r="X222" s="1">
        <v>0</v>
      </c>
      <c r="Y222" s="1">
        <v>1</v>
      </c>
      <c r="Z222" s="1">
        <v>1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8</v>
      </c>
      <c r="AG222" s="1">
        <v>7</v>
      </c>
      <c r="AH222" s="1">
        <v>3</v>
      </c>
      <c r="AI222" s="6">
        <v>0.203</v>
      </c>
      <c r="AJ222" s="7">
        <v>32.5</v>
      </c>
      <c r="AK222" s="7">
        <v>118</v>
      </c>
    </row>
    <row r="223" s="1" customFormat="1" spans="1:37">
      <c r="A223" s="1">
        <v>266</v>
      </c>
      <c r="B223" s="1">
        <v>2</v>
      </c>
      <c r="C223" s="1">
        <v>94</v>
      </c>
      <c r="D223" s="1">
        <v>3</v>
      </c>
      <c r="E223" s="1">
        <v>1</v>
      </c>
      <c r="F223" s="1">
        <v>155</v>
      </c>
      <c r="G223" s="1">
        <v>60</v>
      </c>
      <c r="H223" s="1">
        <f t="shared" si="3"/>
        <v>24.9739854318418</v>
      </c>
      <c r="I223" s="1">
        <v>0</v>
      </c>
      <c r="J223" s="1">
        <v>0</v>
      </c>
      <c r="K223" s="1">
        <v>0</v>
      </c>
      <c r="L223" s="1">
        <v>0</v>
      </c>
      <c r="M223" s="1">
        <v>2</v>
      </c>
      <c r="N223" s="1">
        <v>3</v>
      </c>
      <c r="O223" s="1">
        <v>70</v>
      </c>
      <c r="P223" s="1">
        <v>149</v>
      </c>
      <c r="Q223" s="1">
        <v>1250</v>
      </c>
      <c r="R223" s="1">
        <v>200</v>
      </c>
      <c r="S223" s="1">
        <v>100</v>
      </c>
      <c r="T223" s="1">
        <v>0</v>
      </c>
      <c r="U223" s="1">
        <v>0</v>
      </c>
      <c r="V223" s="1">
        <v>200</v>
      </c>
      <c r="W223" s="1">
        <v>0</v>
      </c>
      <c r="X223" s="1">
        <v>0</v>
      </c>
      <c r="Y223" s="1">
        <v>1</v>
      </c>
      <c r="Z223" s="1">
        <v>1</v>
      </c>
      <c r="AA223" s="1">
        <v>2</v>
      </c>
      <c r="AB223" s="1">
        <v>1</v>
      </c>
      <c r="AC223" s="1">
        <v>0</v>
      </c>
      <c r="AD223" s="1">
        <v>0</v>
      </c>
      <c r="AE223" s="1">
        <v>0</v>
      </c>
      <c r="AF223" s="1">
        <v>5</v>
      </c>
      <c r="AG223" s="1">
        <v>14</v>
      </c>
      <c r="AH223" s="1">
        <v>2</v>
      </c>
      <c r="AI223" s="6">
        <v>0.314</v>
      </c>
      <c r="AJ223" s="7">
        <v>35.7</v>
      </c>
      <c r="AK223" s="7">
        <v>83</v>
      </c>
    </row>
    <row r="224" s="1" customFormat="1" spans="1:37">
      <c r="A224" s="1">
        <v>267</v>
      </c>
      <c r="B224" s="1">
        <v>2</v>
      </c>
      <c r="C224" s="1">
        <v>88</v>
      </c>
      <c r="D224" s="1">
        <v>3</v>
      </c>
      <c r="E224" s="1">
        <v>2</v>
      </c>
      <c r="F224" s="1">
        <v>158</v>
      </c>
      <c r="G224" s="1">
        <v>55</v>
      </c>
      <c r="H224" s="1">
        <f t="shared" si="3"/>
        <v>22.0317256849864</v>
      </c>
      <c r="I224" s="1">
        <v>0</v>
      </c>
      <c r="J224" s="1">
        <v>0</v>
      </c>
      <c r="K224" s="1">
        <v>0</v>
      </c>
      <c r="L224" s="1">
        <v>0</v>
      </c>
      <c r="M224" s="1">
        <v>2</v>
      </c>
      <c r="N224" s="1">
        <v>3</v>
      </c>
      <c r="O224" s="1">
        <v>50</v>
      </c>
      <c r="P224" s="1">
        <v>120</v>
      </c>
      <c r="Q224" s="1">
        <v>300</v>
      </c>
      <c r="R224" s="1">
        <v>100</v>
      </c>
      <c r="S224" s="1">
        <v>100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4</v>
      </c>
      <c r="AG224" s="1">
        <v>14</v>
      </c>
      <c r="AH224" s="1">
        <v>2</v>
      </c>
      <c r="AI224" s="6">
        <v>0.242</v>
      </c>
      <c r="AJ224" s="7">
        <v>38.4</v>
      </c>
      <c r="AK224" s="7">
        <v>134</v>
      </c>
    </row>
    <row r="225" s="1" customFormat="1" spans="1:37">
      <c r="A225" s="1">
        <v>268</v>
      </c>
      <c r="B225" s="1">
        <v>1</v>
      </c>
      <c r="C225" s="1">
        <v>79</v>
      </c>
      <c r="D225" s="1">
        <v>3</v>
      </c>
      <c r="E225" s="1">
        <v>2</v>
      </c>
      <c r="F225" s="1">
        <v>180</v>
      </c>
      <c r="G225" s="1">
        <v>60</v>
      </c>
      <c r="H225" s="1">
        <f t="shared" si="3"/>
        <v>18.5185185185185</v>
      </c>
      <c r="I225" s="1">
        <v>0</v>
      </c>
      <c r="J225" s="1">
        <v>0</v>
      </c>
      <c r="K225" s="1">
        <v>0</v>
      </c>
      <c r="L225" s="1">
        <v>1</v>
      </c>
      <c r="M225" s="1">
        <v>2</v>
      </c>
      <c r="N225" s="1">
        <v>3</v>
      </c>
      <c r="O225" s="1">
        <v>70</v>
      </c>
      <c r="P225" s="1">
        <v>141</v>
      </c>
      <c r="Q225" s="1">
        <v>900</v>
      </c>
      <c r="R225" s="1">
        <v>100</v>
      </c>
      <c r="S225" s="1">
        <v>100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3</v>
      </c>
      <c r="AG225" s="1">
        <v>15</v>
      </c>
      <c r="AH225" s="1">
        <v>3</v>
      </c>
      <c r="AI225" s="6">
        <v>0.262</v>
      </c>
      <c r="AJ225" s="7">
        <v>31.1</v>
      </c>
      <c r="AK225" s="7">
        <v>66</v>
      </c>
    </row>
    <row r="226" s="1" customFormat="1" spans="1:37">
      <c r="A226" s="10">
        <v>269</v>
      </c>
      <c r="B226" s="10">
        <v>2</v>
      </c>
      <c r="C226" s="10">
        <v>81</v>
      </c>
      <c r="D226" s="10">
        <v>2</v>
      </c>
      <c r="E226" s="10">
        <v>1</v>
      </c>
      <c r="F226" s="10">
        <v>155</v>
      </c>
      <c r="G226" s="10">
        <v>88</v>
      </c>
      <c r="H226" s="1">
        <f t="shared" si="3"/>
        <v>36.6285119667013</v>
      </c>
      <c r="I226" s="10">
        <v>1</v>
      </c>
      <c r="J226" s="10">
        <v>0</v>
      </c>
      <c r="K226" s="10">
        <v>0</v>
      </c>
      <c r="L226" s="1">
        <v>0</v>
      </c>
      <c r="M226" s="10">
        <v>1</v>
      </c>
      <c r="N226" s="10">
        <v>5</v>
      </c>
      <c r="O226" s="10">
        <v>90</v>
      </c>
      <c r="P226" s="10">
        <v>206</v>
      </c>
      <c r="Q226" s="10">
        <v>1300</v>
      </c>
      <c r="R226" s="10">
        <v>100</v>
      </c>
      <c r="S226" s="10">
        <v>100</v>
      </c>
      <c r="T226" s="10">
        <v>200</v>
      </c>
      <c r="U226" s="1">
        <v>0</v>
      </c>
      <c r="V226" s="1">
        <v>0</v>
      </c>
      <c r="W226" s="1">
        <v>0</v>
      </c>
      <c r="X226" s="10">
        <v>1</v>
      </c>
      <c r="Y226" s="10">
        <v>0</v>
      </c>
      <c r="Z226" s="10">
        <v>1</v>
      </c>
      <c r="AA226" s="10">
        <v>2</v>
      </c>
      <c r="AB226" s="10">
        <v>0</v>
      </c>
      <c r="AC226" s="10">
        <v>1</v>
      </c>
      <c r="AD226" s="10">
        <v>0</v>
      </c>
      <c r="AE226" s="10">
        <v>0</v>
      </c>
      <c r="AF226" s="10">
        <v>2</v>
      </c>
      <c r="AG226" s="10">
        <v>5</v>
      </c>
      <c r="AH226" s="1">
        <v>2</v>
      </c>
      <c r="AI226" s="1">
        <v>0.3</v>
      </c>
      <c r="AJ226" s="7">
        <v>35.8</v>
      </c>
      <c r="AK226" s="7">
        <v>83</v>
      </c>
    </row>
    <row r="227" s="1" customFormat="1" spans="1:37">
      <c r="A227" s="1">
        <v>270</v>
      </c>
      <c r="B227" s="1">
        <v>2</v>
      </c>
      <c r="C227" s="1">
        <v>81</v>
      </c>
      <c r="D227" s="1">
        <v>2</v>
      </c>
      <c r="E227" s="1">
        <v>2</v>
      </c>
      <c r="F227" s="1">
        <v>155</v>
      </c>
      <c r="G227" s="1">
        <v>65</v>
      </c>
      <c r="H227" s="1">
        <f t="shared" si="3"/>
        <v>27.0551508844953</v>
      </c>
      <c r="I227" s="1">
        <v>1</v>
      </c>
      <c r="J227" s="1">
        <v>0</v>
      </c>
      <c r="K227" s="1">
        <v>0</v>
      </c>
      <c r="L227" s="1">
        <v>0</v>
      </c>
      <c r="M227" s="1">
        <v>2</v>
      </c>
      <c r="N227" s="1">
        <v>3</v>
      </c>
      <c r="O227" s="1">
        <v>85</v>
      </c>
      <c r="P227" s="1">
        <v>150</v>
      </c>
      <c r="Q227" s="1">
        <v>800</v>
      </c>
      <c r="R227" s="1">
        <v>100</v>
      </c>
      <c r="S227" s="1">
        <v>100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1</v>
      </c>
      <c r="AD227" s="1">
        <v>0</v>
      </c>
      <c r="AE227" s="1">
        <v>0</v>
      </c>
      <c r="AF227" s="1">
        <v>8</v>
      </c>
      <c r="AG227" s="1">
        <v>6</v>
      </c>
      <c r="AH227" s="1">
        <v>3</v>
      </c>
      <c r="AI227" s="6">
        <v>0.332</v>
      </c>
      <c r="AJ227" s="7">
        <v>32.3</v>
      </c>
      <c r="AK227" s="7">
        <v>60</v>
      </c>
    </row>
    <row r="228" s="1" customFormat="1" spans="1:37">
      <c r="A228" s="1">
        <v>271</v>
      </c>
      <c r="B228" s="1">
        <v>2</v>
      </c>
      <c r="C228" s="1">
        <v>83</v>
      </c>
      <c r="D228" s="1">
        <v>3</v>
      </c>
      <c r="E228" s="1">
        <v>2</v>
      </c>
      <c r="F228" s="1">
        <v>163</v>
      </c>
      <c r="G228" s="1">
        <v>56</v>
      </c>
      <c r="H228" s="1">
        <f t="shared" si="3"/>
        <v>21.0771952275208</v>
      </c>
      <c r="I228" s="1">
        <v>1</v>
      </c>
      <c r="J228" s="1">
        <v>0</v>
      </c>
      <c r="K228" s="1">
        <v>0</v>
      </c>
      <c r="L228" s="1">
        <v>0</v>
      </c>
      <c r="M228" s="1">
        <v>2</v>
      </c>
      <c r="N228" s="1">
        <v>3</v>
      </c>
      <c r="O228" s="1">
        <v>70</v>
      </c>
      <c r="P228" s="1">
        <v>171</v>
      </c>
      <c r="Q228" s="1">
        <v>1000</v>
      </c>
      <c r="R228" s="1">
        <v>100</v>
      </c>
      <c r="S228" s="1">
        <v>100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9</v>
      </c>
      <c r="AG228" s="1">
        <v>7</v>
      </c>
      <c r="AH228" s="1">
        <v>1</v>
      </c>
      <c r="AI228" s="6">
        <v>0.362</v>
      </c>
      <c r="AJ228" s="7">
        <v>39.7</v>
      </c>
      <c r="AK228" s="7">
        <v>41</v>
      </c>
    </row>
    <row r="229" s="1" customFormat="1" spans="1:37">
      <c r="A229" s="1">
        <v>272</v>
      </c>
      <c r="B229" s="1">
        <v>2</v>
      </c>
      <c r="C229" s="1">
        <v>82</v>
      </c>
      <c r="D229" s="1">
        <v>3</v>
      </c>
      <c r="E229" s="1">
        <v>2</v>
      </c>
      <c r="F229" s="1">
        <v>158</v>
      </c>
      <c r="G229" s="1">
        <v>47</v>
      </c>
      <c r="H229" s="1">
        <f t="shared" si="3"/>
        <v>18.8271110398974</v>
      </c>
      <c r="I229" s="1">
        <v>0</v>
      </c>
      <c r="J229" s="1">
        <v>0</v>
      </c>
      <c r="K229" s="1">
        <v>0</v>
      </c>
      <c r="L229" s="1">
        <v>0</v>
      </c>
      <c r="M229" s="1">
        <v>2</v>
      </c>
      <c r="N229" s="1">
        <v>3</v>
      </c>
      <c r="O229" s="1">
        <v>90</v>
      </c>
      <c r="P229" s="1">
        <v>180</v>
      </c>
      <c r="Q229" s="1">
        <v>800</v>
      </c>
      <c r="R229" s="1">
        <v>100</v>
      </c>
      <c r="S229" s="1">
        <v>100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2</v>
      </c>
      <c r="AB229" s="1">
        <v>0</v>
      </c>
      <c r="AC229" s="1">
        <v>0</v>
      </c>
      <c r="AD229" s="1">
        <v>0</v>
      </c>
      <c r="AE229" s="1">
        <v>0</v>
      </c>
      <c r="AF229" s="1">
        <v>6</v>
      </c>
      <c r="AG229" s="1">
        <v>12</v>
      </c>
      <c r="AH229" s="1">
        <v>2</v>
      </c>
      <c r="AI229" s="6">
        <v>0.268</v>
      </c>
      <c r="AJ229" s="7">
        <v>34.9</v>
      </c>
      <c r="AK229" s="7">
        <v>46</v>
      </c>
    </row>
    <row r="230" s="1" customFormat="1" spans="1:37">
      <c r="A230" s="1">
        <v>273</v>
      </c>
      <c r="B230" s="1">
        <v>2</v>
      </c>
      <c r="C230" s="1">
        <v>72</v>
      </c>
      <c r="D230" s="1">
        <v>2</v>
      </c>
      <c r="E230" s="1">
        <v>2</v>
      </c>
      <c r="F230" s="1">
        <v>153</v>
      </c>
      <c r="G230" s="1">
        <v>55</v>
      </c>
      <c r="H230" s="1">
        <f t="shared" si="3"/>
        <v>23.4952368747063</v>
      </c>
      <c r="I230" s="1">
        <v>1</v>
      </c>
      <c r="J230" s="1">
        <v>1</v>
      </c>
      <c r="K230" s="1">
        <v>0</v>
      </c>
      <c r="L230" s="1">
        <v>1</v>
      </c>
      <c r="M230" s="8">
        <v>4</v>
      </c>
      <c r="N230" s="1">
        <v>5</v>
      </c>
      <c r="O230" s="1">
        <v>105</v>
      </c>
      <c r="P230" s="1">
        <v>147</v>
      </c>
      <c r="Q230" s="1">
        <v>800</v>
      </c>
      <c r="R230" s="1">
        <v>100</v>
      </c>
      <c r="S230" s="1">
        <v>100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2</v>
      </c>
      <c r="AB230" s="1">
        <v>0</v>
      </c>
      <c r="AC230" s="1">
        <v>0</v>
      </c>
      <c r="AD230" s="1">
        <v>0</v>
      </c>
      <c r="AE230" s="1">
        <v>0</v>
      </c>
      <c r="AF230" s="1">
        <v>5</v>
      </c>
      <c r="AG230" s="1">
        <v>19</v>
      </c>
      <c r="AH230" s="1">
        <v>2</v>
      </c>
      <c r="AI230" s="6">
        <v>0.274</v>
      </c>
      <c r="AJ230" s="7">
        <v>34.1</v>
      </c>
      <c r="AK230" s="7">
        <v>49</v>
      </c>
    </row>
    <row r="231" s="1" customFormat="1" spans="1:37">
      <c r="A231" s="1">
        <v>274</v>
      </c>
      <c r="B231" s="1">
        <v>1</v>
      </c>
      <c r="C231" s="1">
        <v>90</v>
      </c>
      <c r="D231" s="1">
        <v>2</v>
      </c>
      <c r="E231" s="1">
        <v>2</v>
      </c>
      <c r="F231" s="1">
        <v>164</v>
      </c>
      <c r="G231" s="1">
        <v>45</v>
      </c>
      <c r="H231" s="1">
        <f t="shared" si="3"/>
        <v>16.7311124330756</v>
      </c>
      <c r="I231" s="1">
        <v>0</v>
      </c>
      <c r="J231" s="1">
        <v>0</v>
      </c>
      <c r="K231" s="1">
        <v>1</v>
      </c>
      <c r="L231" s="1">
        <v>0</v>
      </c>
      <c r="M231" s="1">
        <v>2</v>
      </c>
      <c r="N231" s="1">
        <v>3</v>
      </c>
      <c r="O231" s="1">
        <v>45</v>
      </c>
      <c r="P231" s="1">
        <v>134</v>
      </c>
      <c r="Q231" s="1">
        <v>400</v>
      </c>
      <c r="R231" s="1">
        <v>100</v>
      </c>
      <c r="S231" s="1">
        <v>100</v>
      </c>
      <c r="T231" s="1">
        <v>0</v>
      </c>
      <c r="U231" s="1">
        <v>0</v>
      </c>
      <c r="V231" s="1">
        <v>200</v>
      </c>
      <c r="W231" s="1">
        <v>200</v>
      </c>
      <c r="X231" s="1">
        <v>0</v>
      </c>
      <c r="Y231" s="1">
        <v>1</v>
      </c>
      <c r="Z231" s="1">
        <v>1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6</v>
      </c>
      <c r="AG231" s="1">
        <v>6</v>
      </c>
      <c r="AH231" s="1">
        <v>2</v>
      </c>
      <c r="AI231" s="6">
        <v>0.362</v>
      </c>
      <c r="AJ231" s="7">
        <v>36.6</v>
      </c>
      <c r="AK231" s="7">
        <v>65</v>
      </c>
    </row>
    <row r="232" s="1" customFormat="1" spans="1:37">
      <c r="A232" s="1">
        <v>275</v>
      </c>
      <c r="B232" s="1">
        <v>2</v>
      </c>
      <c r="C232" s="1">
        <v>71</v>
      </c>
      <c r="D232" s="1">
        <v>3</v>
      </c>
      <c r="E232" s="1">
        <v>1</v>
      </c>
      <c r="F232" s="1">
        <v>160</v>
      </c>
      <c r="G232" s="1">
        <v>78</v>
      </c>
      <c r="H232" s="1">
        <f t="shared" si="3"/>
        <v>30.46875</v>
      </c>
      <c r="I232" s="1">
        <v>1</v>
      </c>
      <c r="J232" s="1">
        <v>1</v>
      </c>
      <c r="K232" s="1">
        <v>0</v>
      </c>
      <c r="L232" s="1">
        <v>1</v>
      </c>
      <c r="M232" s="1">
        <v>2</v>
      </c>
      <c r="N232" s="1">
        <v>3</v>
      </c>
      <c r="O232" s="1">
        <v>80</v>
      </c>
      <c r="P232" s="1">
        <v>138</v>
      </c>
      <c r="Q232" s="1">
        <v>1200</v>
      </c>
      <c r="R232" s="1">
        <v>100</v>
      </c>
      <c r="S232" s="1">
        <v>100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1</v>
      </c>
      <c r="AB232" s="1">
        <v>1</v>
      </c>
      <c r="AC232" s="1">
        <v>0</v>
      </c>
      <c r="AD232" s="1">
        <v>0</v>
      </c>
      <c r="AE232" s="1">
        <v>1</v>
      </c>
      <c r="AF232" s="1">
        <v>6</v>
      </c>
      <c r="AG232" s="1">
        <v>9</v>
      </c>
      <c r="AH232" s="1">
        <v>1</v>
      </c>
      <c r="AI232" s="6">
        <v>0.391</v>
      </c>
      <c r="AJ232" s="7">
        <v>40.5</v>
      </c>
      <c r="AK232" s="7">
        <v>55</v>
      </c>
    </row>
    <row r="233" s="1" customFormat="1" spans="1:37">
      <c r="A233" s="1">
        <v>276</v>
      </c>
      <c r="B233" s="1">
        <v>2</v>
      </c>
      <c r="C233" s="1">
        <v>90</v>
      </c>
      <c r="D233" s="1">
        <v>2</v>
      </c>
      <c r="E233" s="1">
        <v>2</v>
      </c>
      <c r="F233" s="1">
        <v>174</v>
      </c>
      <c r="G233" s="1">
        <v>49</v>
      </c>
      <c r="H233" s="1">
        <f t="shared" si="3"/>
        <v>16.1844365173735</v>
      </c>
      <c r="I233" s="1">
        <v>1</v>
      </c>
      <c r="J233" s="1">
        <v>0</v>
      </c>
      <c r="K233" s="1">
        <v>1</v>
      </c>
      <c r="L233" s="1">
        <v>0</v>
      </c>
      <c r="M233" s="1">
        <v>2</v>
      </c>
      <c r="N233" s="1">
        <v>3</v>
      </c>
      <c r="O233" s="1">
        <v>100</v>
      </c>
      <c r="P233" s="1">
        <v>197</v>
      </c>
      <c r="Q233" s="1">
        <v>600</v>
      </c>
      <c r="R233" s="1">
        <v>100</v>
      </c>
      <c r="S233" s="1">
        <v>100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5</v>
      </c>
      <c r="AG233" s="1">
        <v>9</v>
      </c>
      <c r="AH233" s="1">
        <v>3</v>
      </c>
      <c r="AI233" s="6">
        <v>0.348</v>
      </c>
      <c r="AJ233" s="7">
        <v>39.3</v>
      </c>
      <c r="AK233" s="7">
        <v>62</v>
      </c>
    </row>
    <row r="234" s="1" customFormat="1" spans="1:37">
      <c r="A234" s="1">
        <v>277</v>
      </c>
      <c r="B234" s="1">
        <v>1</v>
      </c>
      <c r="C234" s="1">
        <v>78</v>
      </c>
      <c r="D234" s="1">
        <v>3</v>
      </c>
      <c r="E234" s="1">
        <v>2</v>
      </c>
      <c r="F234" s="1">
        <v>166</v>
      </c>
      <c r="G234" s="1">
        <v>60</v>
      </c>
      <c r="H234" s="1">
        <f t="shared" si="3"/>
        <v>21.7738423573813</v>
      </c>
      <c r="I234" s="1">
        <v>1</v>
      </c>
      <c r="J234" s="1">
        <v>0</v>
      </c>
      <c r="K234" s="1">
        <v>1</v>
      </c>
      <c r="L234" s="1">
        <v>1</v>
      </c>
      <c r="M234" s="1">
        <v>2</v>
      </c>
      <c r="N234" s="1">
        <v>3</v>
      </c>
      <c r="O234" s="1">
        <v>120</v>
      </c>
      <c r="P234" s="1">
        <v>207</v>
      </c>
      <c r="Q234" s="1">
        <v>1100</v>
      </c>
      <c r="R234" s="1">
        <v>100</v>
      </c>
      <c r="S234" s="1">
        <v>100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6</v>
      </c>
      <c r="AG234" s="1">
        <v>7</v>
      </c>
      <c r="AH234" s="1">
        <v>1</v>
      </c>
      <c r="AI234" s="6">
        <v>0.436</v>
      </c>
      <c r="AJ234" s="7">
        <v>42.8</v>
      </c>
      <c r="AK234" s="7">
        <v>77</v>
      </c>
    </row>
    <row r="235" s="1" customFormat="1" spans="1:37">
      <c r="A235" s="1">
        <v>278</v>
      </c>
      <c r="B235" s="1">
        <v>2</v>
      </c>
      <c r="C235" s="1">
        <v>81</v>
      </c>
      <c r="D235" s="1">
        <v>2</v>
      </c>
      <c r="E235" s="1">
        <v>2</v>
      </c>
      <c r="F235" s="1">
        <v>150</v>
      </c>
      <c r="G235" s="1">
        <v>45</v>
      </c>
      <c r="H235" s="1">
        <f t="shared" si="3"/>
        <v>20</v>
      </c>
      <c r="I235" s="1">
        <v>0</v>
      </c>
      <c r="J235" s="1">
        <v>1</v>
      </c>
      <c r="K235" s="1">
        <v>1</v>
      </c>
      <c r="L235" s="1">
        <v>0</v>
      </c>
      <c r="M235" s="1">
        <v>1</v>
      </c>
      <c r="N235" s="1">
        <v>1</v>
      </c>
      <c r="O235" s="1">
        <v>90</v>
      </c>
      <c r="P235" s="1">
        <v>155</v>
      </c>
      <c r="Q235" s="1">
        <v>1200</v>
      </c>
      <c r="R235" s="1">
        <v>100</v>
      </c>
      <c r="S235" s="1">
        <v>100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3</v>
      </c>
      <c r="AG235" s="1">
        <v>17</v>
      </c>
      <c r="AH235" s="1">
        <v>2</v>
      </c>
      <c r="AI235" s="6">
        <v>0.307</v>
      </c>
      <c r="AJ235" s="7">
        <v>36.7</v>
      </c>
      <c r="AK235" s="7">
        <v>59</v>
      </c>
    </row>
    <row r="236" s="1" customFormat="1" spans="1:37">
      <c r="A236" s="1">
        <v>279</v>
      </c>
      <c r="B236" s="1">
        <v>2</v>
      </c>
      <c r="C236" s="1">
        <v>72</v>
      </c>
      <c r="D236" s="1">
        <v>2</v>
      </c>
      <c r="E236" s="1">
        <v>2</v>
      </c>
      <c r="F236" s="1">
        <v>155</v>
      </c>
      <c r="G236" s="1">
        <v>50</v>
      </c>
      <c r="H236" s="1">
        <f t="shared" si="3"/>
        <v>20.8116545265349</v>
      </c>
      <c r="I236" s="1">
        <v>0</v>
      </c>
      <c r="J236" s="1">
        <v>1</v>
      </c>
      <c r="K236" s="1">
        <v>0</v>
      </c>
      <c r="L236" s="1">
        <v>0</v>
      </c>
      <c r="M236" s="1">
        <v>2</v>
      </c>
      <c r="N236" s="1">
        <v>3</v>
      </c>
      <c r="O236" s="1">
        <v>120</v>
      </c>
      <c r="P236" s="1">
        <v>169</v>
      </c>
      <c r="Q236" s="1">
        <v>1200</v>
      </c>
      <c r="R236" s="1">
        <v>100</v>
      </c>
      <c r="S236" s="1">
        <v>100</v>
      </c>
      <c r="T236" s="1">
        <v>200</v>
      </c>
      <c r="U236" s="1">
        <v>0</v>
      </c>
      <c r="V236" s="1">
        <v>0</v>
      </c>
      <c r="W236" s="1">
        <v>0</v>
      </c>
      <c r="X236" s="1">
        <v>1</v>
      </c>
      <c r="Y236" s="1">
        <v>0</v>
      </c>
      <c r="Z236" s="1">
        <v>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8</v>
      </c>
      <c r="AG236" s="1">
        <v>11</v>
      </c>
      <c r="AH236" s="1">
        <v>2</v>
      </c>
      <c r="AI236" s="6">
        <v>0.252</v>
      </c>
      <c r="AJ236" s="7">
        <v>37.1</v>
      </c>
      <c r="AK236" s="7">
        <v>37</v>
      </c>
    </row>
    <row r="237" s="1" customFormat="1" spans="1:37">
      <c r="A237" s="1">
        <v>280</v>
      </c>
      <c r="B237" s="1">
        <v>1</v>
      </c>
      <c r="C237" s="1">
        <v>80</v>
      </c>
      <c r="D237" s="1">
        <v>3</v>
      </c>
      <c r="E237" s="1">
        <v>1</v>
      </c>
      <c r="F237" s="1">
        <v>162</v>
      </c>
      <c r="G237" s="1">
        <v>58</v>
      </c>
      <c r="H237" s="1">
        <f t="shared" si="3"/>
        <v>22.1002895900015</v>
      </c>
      <c r="I237" s="1">
        <v>1</v>
      </c>
      <c r="J237" s="1">
        <v>0</v>
      </c>
      <c r="K237" s="1">
        <v>0</v>
      </c>
      <c r="L237" s="1">
        <v>0</v>
      </c>
      <c r="M237" s="1">
        <v>4</v>
      </c>
      <c r="N237" s="1">
        <v>5</v>
      </c>
      <c r="O237" s="1">
        <v>130</v>
      </c>
      <c r="P237" s="1">
        <v>235</v>
      </c>
      <c r="Q237" s="1">
        <v>1300</v>
      </c>
      <c r="R237" s="1">
        <v>100</v>
      </c>
      <c r="S237" s="1">
        <v>100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2</v>
      </c>
      <c r="AB237" s="1">
        <v>0</v>
      </c>
      <c r="AC237" s="1">
        <v>0</v>
      </c>
      <c r="AD237" s="1">
        <v>0</v>
      </c>
      <c r="AE237" s="1">
        <v>0</v>
      </c>
      <c r="AF237" s="1">
        <v>2</v>
      </c>
      <c r="AG237" s="1">
        <v>10</v>
      </c>
      <c r="AH237" s="1">
        <v>1</v>
      </c>
      <c r="AI237" s="6">
        <v>0.394</v>
      </c>
      <c r="AJ237" s="7">
        <v>41.1</v>
      </c>
      <c r="AK237" s="7">
        <v>70</v>
      </c>
    </row>
    <row r="238" s="1" customFormat="1" spans="1:37">
      <c r="A238" s="1">
        <v>281</v>
      </c>
      <c r="B238" s="1">
        <v>1</v>
      </c>
      <c r="C238" s="1">
        <v>73</v>
      </c>
      <c r="D238" s="1">
        <v>2</v>
      </c>
      <c r="E238" s="1">
        <v>2</v>
      </c>
      <c r="F238" s="1">
        <v>176</v>
      </c>
      <c r="G238" s="1">
        <v>65</v>
      </c>
      <c r="H238" s="1">
        <f t="shared" si="3"/>
        <v>20.9839876033058</v>
      </c>
      <c r="I238" s="1">
        <v>0</v>
      </c>
      <c r="J238" s="1">
        <v>0</v>
      </c>
      <c r="K238" s="1">
        <v>0</v>
      </c>
      <c r="L238" s="1">
        <v>0</v>
      </c>
      <c r="M238" s="1">
        <v>3</v>
      </c>
      <c r="N238" s="1">
        <v>3</v>
      </c>
      <c r="O238" s="1">
        <v>100</v>
      </c>
      <c r="P238" s="1">
        <v>166</v>
      </c>
      <c r="Q238" s="1">
        <v>1000</v>
      </c>
      <c r="R238" s="1">
        <v>100</v>
      </c>
      <c r="S238" s="1">
        <v>100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2</v>
      </c>
      <c r="AG238" s="1">
        <v>11</v>
      </c>
      <c r="AH238" s="1">
        <v>1</v>
      </c>
      <c r="AI238" s="6">
        <v>0.378</v>
      </c>
      <c r="AJ238" s="7">
        <v>37.7</v>
      </c>
      <c r="AK238" s="7">
        <v>58</v>
      </c>
    </row>
    <row r="239" s="1" customFormat="1" spans="1:37">
      <c r="A239" s="1">
        <v>282</v>
      </c>
      <c r="B239" s="1">
        <v>2</v>
      </c>
      <c r="C239" s="1">
        <v>77</v>
      </c>
      <c r="D239" s="1">
        <v>2</v>
      </c>
      <c r="E239" s="1">
        <v>2</v>
      </c>
      <c r="F239" s="1">
        <v>162</v>
      </c>
      <c r="G239" s="1">
        <v>73</v>
      </c>
      <c r="H239" s="1">
        <f t="shared" si="3"/>
        <v>27.8158817253467</v>
      </c>
      <c r="I239" s="1">
        <v>1</v>
      </c>
      <c r="J239" s="1">
        <v>1</v>
      </c>
      <c r="K239" s="1">
        <v>1</v>
      </c>
      <c r="L239" s="1">
        <v>0</v>
      </c>
      <c r="M239" s="1">
        <v>2</v>
      </c>
      <c r="N239" s="1">
        <v>3</v>
      </c>
      <c r="O239" s="1">
        <v>130</v>
      </c>
      <c r="P239" s="1">
        <v>222</v>
      </c>
      <c r="Q239" s="1">
        <v>1100</v>
      </c>
      <c r="R239" s="1">
        <v>100</v>
      </c>
      <c r="S239" s="1">
        <v>100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6</v>
      </c>
      <c r="AB239" s="1">
        <v>0</v>
      </c>
      <c r="AC239" s="1">
        <v>0</v>
      </c>
      <c r="AD239" s="1">
        <v>0</v>
      </c>
      <c r="AE239" s="1">
        <v>0</v>
      </c>
      <c r="AF239" s="1">
        <v>2</v>
      </c>
      <c r="AG239" s="1">
        <v>14</v>
      </c>
      <c r="AH239" s="1">
        <v>1</v>
      </c>
      <c r="AI239" s="6">
        <v>0.381</v>
      </c>
      <c r="AJ239" s="7">
        <v>39.5</v>
      </c>
      <c r="AK239" s="7">
        <v>92</v>
      </c>
    </row>
    <row r="240" s="1" customFormat="1" spans="1:37">
      <c r="A240" s="1">
        <v>283</v>
      </c>
      <c r="B240" s="1">
        <v>1</v>
      </c>
      <c r="C240" s="1">
        <v>77</v>
      </c>
      <c r="D240" s="1">
        <v>3</v>
      </c>
      <c r="E240" s="1">
        <v>1</v>
      </c>
      <c r="F240" s="1">
        <v>154</v>
      </c>
      <c r="G240" s="1">
        <v>75</v>
      </c>
      <c r="H240" s="1">
        <f t="shared" si="3"/>
        <v>31.6242199359082</v>
      </c>
      <c r="I240" s="1">
        <v>0</v>
      </c>
      <c r="J240" s="1">
        <v>0</v>
      </c>
      <c r="K240" s="1">
        <v>1</v>
      </c>
      <c r="L240" s="1">
        <v>0</v>
      </c>
      <c r="M240" s="1">
        <v>1</v>
      </c>
      <c r="N240" s="1">
        <v>2</v>
      </c>
      <c r="O240" s="1">
        <v>40</v>
      </c>
      <c r="P240" s="1">
        <v>98</v>
      </c>
      <c r="Q240" s="1">
        <v>300</v>
      </c>
      <c r="R240" s="1">
        <v>100</v>
      </c>
      <c r="S240" s="1">
        <v>100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2</v>
      </c>
      <c r="AB240" s="1">
        <v>1</v>
      </c>
      <c r="AC240" s="1">
        <v>1</v>
      </c>
      <c r="AD240" s="1">
        <v>0</v>
      </c>
      <c r="AE240" s="1">
        <v>0</v>
      </c>
      <c r="AF240" s="1">
        <v>19</v>
      </c>
      <c r="AG240" s="1">
        <v>25</v>
      </c>
      <c r="AH240" s="1">
        <v>3</v>
      </c>
      <c r="AI240" s="6">
        <v>0.253</v>
      </c>
      <c r="AJ240" s="7">
        <v>29.5</v>
      </c>
      <c r="AK240" s="7">
        <v>51</v>
      </c>
    </row>
    <row r="241" s="1" customFormat="1" spans="1:37">
      <c r="A241" s="1">
        <v>284</v>
      </c>
      <c r="B241" s="1">
        <v>1</v>
      </c>
      <c r="C241" s="1">
        <v>89</v>
      </c>
      <c r="D241" s="1">
        <v>2</v>
      </c>
      <c r="E241" s="1">
        <v>2</v>
      </c>
      <c r="F241" s="1">
        <v>176</v>
      </c>
      <c r="G241" s="1">
        <v>80</v>
      </c>
      <c r="H241" s="1">
        <f t="shared" si="3"/>
        <v>25.8264462809917</v>
      </c>
      <c r="I241" s="1">
        <v>1</v>
      </c>
      <c r="J241" s="1">
        <v>0</v>
      </c>
      <c r="K241" s="1">
        <v>0</v>
      </c>
      <c r="L241" s="1">
        <v>0</v>
      </c>
      <c r="M241" s="1">
        <v>2</v>
      </c>
      <c r="N241" s="1">
        <v>3</v>
      </c>
      <c r="O241" s="1">
        <v>80</v>
      </c>
      <c r="P241" s="1">
        <v>149</v>
      </c>
      <c r="Q241" s="1">
        <v>1300</v>
      </c>
      <c r="R241" s="1">
        <v>100</v>
      </c>
      <c r="S241" s="1">
        <v>100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0</v>
      </c>
      <c r="AC241" s="1">
        <v>0</v>
      </c>
      <c r="AD241" s="1">
        <v>0</v>
      </c>
      <c r="AE241" s="1">
        <v>0</v>
      </c>
      <c r="AF241" s="1">
        <v>4</v>
      </c>
      <c r="AG241" s="1">
        <v>8</v>
      </c>
      <c r="AH241" s="1">
        <v>1</v>
      </c>
      <c r="AI241" s="6">
        <v>0.392</v>
      </c>
      <c r="AJ241" s="7">
        <v>38.8</v>
      </c>
      <c r="AK241" s="7">
        <v>65</v>
      </c>
    </row>
    <row r="242" s="1" customFormat="1" spans="1:37">
      <c r="A242" s="1">
        <v>285</v>
      </c>
      <c r="B242" s="1">
        <v>1</v>
      </c>
      <c r="C242" s="1">
        <v>85</v>
      </c>
      <c r="D242" s="1">
        <v>3</v>
      </c>
      <c r="E242" s="1">
        <v>2</v>
      </c>
      <c r="F242" s="1">
        <v>167</v>
      </c>
      <c r="G242" s="1">
        <v>60</v>
      </c>
      <c r="H242" s="1">
        <f t="shared" si="3"/>
        <v>21.5138585105239</v>
      </c>
      <c r="I242" s="1">
        <v>1</v>
      </c>
      <c r="J242" s="1">
        <v>0</v>
      </c>
      <c r="K242" s="1">
        <v>0</v>
      </c>
      <c r="L242" s="1">
        <v>0</v>
      </c>
      <c r="M242" s="1">
        <v>2</v>
      </c>
      <c r="N242" s="1">
        <v>3</v>
      </c>
      <c r="O242" s="1">
        <v>60</v>
      </c>
      <c r="P242" s="1">
        <v>145</v>
      </c>
      <c r="Q242" s="1">
        <v>1100</v>
      </c>
      <c r="R242" s="1">
        <v>100</v>
      </c>
      <c r="S242" s="1">
        <v>100</v>
      </c>
      <c r="T242" s="1">
        <v>200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1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4</v>
      </c>
      <c r="AG242" s="1">
        <v>8</v>
      </c>
      <c r="AH242" s="1">
        <v>2</v>
      </c>
      <c r="AI242" s="6">
        <v>0.266</v>
      </c>
      <c r="AJ242" s="7">
        <v>35.1</v>
      </c>
      <c r="AK242" s="7">
        <v>169</v>
      </c>
    </row>
    <row r="243" s="1" customFormat="1" spans="1:37">
      <c r="A243" s="1">
        <v>286</v>
      </c>
      <c r="B243" s="1">
        <v>1</v>
      </c>
      <c r="C243" s="1">
        <v>74</v>
      </c>
      <c r="D243" s="1">
        <v>2</v>
      </c>
      <c r="E243" s="1">
        <v>1</v>
      </c>
      <c r="F243" s="1">
        <v>178</v>
      </c>
      <c r="G243" s="1">
        <v>62</v>
      </c>
      <c r="H243" s="1">
        <f t="shared" si="3"/>
        <v>19.5682363337962</v>
      </c>
      <c r="I243" s="1">
        <v>1</v>
      </c>
      <c r="J243" s="1">
        <v>0</v>
      </c>
      <c r="K243" s="1">
        <v>0</v>
      </c>
      <c r="L243" s="1">
        <v>0</v>
      </c>
      <c r="M243" s="1">
        <v>2</v>
      </c>
      <c r="N243" s="1">
        <v>3</v>
      </c>
      <c r="O243" s="1">
        <v>75</v>
      </c>
      <c r="P243" s="1">
        <v>251</v>
      </c>
      <c r="Q243" s="1">
        <v>2000</v>
      </c>
      <c r="R243" s="1">
        <v>100</v>
      </c>
      <c r="S243" s="1">
        <v>100</v>
      </c>
      <c r="T243" s="1">
        <v>200</v>
      </c>
      <c r="U243" s="1">
        <v>0</v>
      </c>
      <c r="V243" s="1">
        <v>0</v>
      </c>
      <c r="W243" s="1">
        <v>0</v>
      </c>
      <c r="X243" s="1">
        <v>1</v>
      </c>
      <c r="Y243" s="1">
        <v>0</v>
      </c>
      <c r="Z243" s="1">
        <v>1</v>
      </c>
      <c r="AA243" s="1">
        <v>6</v>
      </c>
      <c r="AB243" s="1">
        <v>0</v>
      </c>
      <c r="AC243" s="1">
        <v>0</v>
      </c>
      <c r="AD243" s="1">
        <v>0</v>
      </c>
      <c r="AE243" s="1">
        <v>0</v>
      </c>
      <c r="AF243" s="1">
        <v>4</v>
      </c>
      <c r="AG243" s="1">
        <v>5</v>
      </c>
      <c r="AH243" s="1">
        <v>3</v>
      </c>
      <c r="AI243" s="6">
        <v>0.31</v>
      </c>
      <c r="AJ243" s="7">
        <v>32.9</v>
      </c>
      <c r="AK243" s="7">
        <v>69</v>
      </c>
    </row>
    <row r="244" s="1" customFormat="1" spans="1:37">
      <c r="A244" s="1">
        <v>287</v>
      </c>
      <c r="B244" s="1">
        <v>2</v>
      </c>
      <c r="C244" s="1">
        <v>74</v>
      </c>
      <c r="D244" s="1">
        <v>2</v>
      </c>
      <c r="E244" s="1">
        <v>2</v>
      </c>
      <c r="F244" s="1">
        <v>155</v>
      </c>
      <c r="G244" s="1">
        <v>55</v>
      </c>
      <c r="H244" s="1">
        <f t="shared" si="3"/>
        <v>22.8928199791883</v>
      </c>
      <c r="I244" s="1">
        <v>0</v>
      </c>
      <c r="J244" s="1">
        <v>0</v>
      </c>
      <c r="K244" s="1">
        <v>0</v>
      </c>
      <c r="L244" s="1">
        <v>0</v>
      </c>
      <c r="M244" s="1">
        <v>2</v>
      </c>
      <c r="N244" s="1">
        <v>3</v>
      </c>
      <c r="O244" s="1">
        <v>110</v>
      </c>
      <c r="P244" s="1">
        <v>185</v>
      </c>
      <c r="Q244" s="1">
        <v>700</v>
      </c>
      <c r="R244" s="1">
        <v>100</v>
      </c>
      <c r="S244" s="1">
        <v>100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9</v>
      </c>
      <c r="AG244" s="1">
        <v>4</v>
      </c>
      <c r="AH244" s="1">
        <v>1</v>
      </c>
      <c r="AI244" s="6">
        <v>0.371</v>
      </c>
      <c r="AJ244" s="7">
        <v>35</v>
      </c>
      <c r="AK244" s="7">
        <v>49</v>
      </c>
    </row>
    <row r="245" s="1" customFormat="1" spans="1:37">
      <c r="A245" s="1">
        <v>288</v>
      </c>
      <c r="B245" s="1">
        <v>2</v>
      </c>
      <c r="C245" s="1">
        <v>79</v>
      </c>
      <c r="D245" s="1">
        <v>3</v>
      </c>
      <c r="E245" s="1">
        <v>1</v>
      </c>
      <c r="F245" s="1">
        <v>148</v>
      </c>
      <c r="G245" s="1">
        <v>40</v>
      </c>
      <c r="H245" s="1">
        <f t="shared" si="3"/>
        <v>18.2615047479912</v>
      </c>
      <c r="I245" s="1">
        <v>1</v>
      </c>
      <c r="J245" s="1">
        <v>0</v>
      </c>
      <c r="K245" s="1">
        <v>0</v>
      </c>
      <c r="L245" s="1">
        <v>0</v>
      </c>
      <c r="M245" s="1">
        <v>4</v>
      </c>
      <c r="N245" s="1">
        <v>3</v>
      </c>
      <c r="O245" s="1">
        <v>75</v>
      </c>
      <c r="P245" s="1">
        <v>167</v>
      </c>
      <c r="Q245" s="1">
        <v>800</v>
      </c>
      <c r="R245" s="1">
        <v>100</v>
      </c>
      <c r="S245" s="1">
        <v>100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9</v>
      </c>
      <c r="AG245" s="1">
        <v>7</v>
      </c>
      <c r="AH245" s="1">
        <v>4</v>
      </c>
      <c r="AI245" s="1">
        <v>0.282</v>
      </c>
      <c r="AJ245" s="7">
        <v>30.5</v>
      </c>
      <c r="AK245" s="7">
        <v>58</v>
      </c>
    </row>
    <row r="246" s="1" customFormat="1" spans="1:37">
      <c r="A246" s="1">
        <v>289</v>
      </c>
      <c r="B246" s="1">
        <v>2</v>
      </c>
      <c r="C246" s="1">
        <v>80</v>
      </c>
      <c r="D246" s="1">
        <v>2</v>
      </c>
      <c r="E246" s="1">
        <v>2</v>
      </c>
      <c r="F246" s="1">
        <v>160</v>
      </c>
      <c r="G246" s="1">
        <v>50</v>
      </c>
      <c r="H246" s="1">
        <f t="shared" si="3"/>
        <v>19.53125</v>
      </c>
      <c r="I246" s="1">
        <v>0</v>
      </c>
      <c r="J246" s="1">
        <v>0</v>
      </c>
      <c r="K246" s="1">
        <v>0</v>
      </c>
      <c r="L246" s="1">
        <v>0</v>
      </c>
      <c r="M246" s="1">
        <v>2</v>
      </c>
      <c r="N246" s="1">
        <v>3</v>
      </c>
      <c r="O246" s="1">
        <v>60</v>
      </c>
      <c r="P246" s="1">
        <v>170</v>
      </c>
      <c r="Q246" s="1">
        <v>1200</v>
      </c>
      <c r="R246" s="1">
        <v>100</v>
      </c>
      <c r="S246" s="1">
        <v>100</v>
      </c>
      <c r="T246" s="1">
        <v>400</v>
      </c>
      <c r="U246" s="1">
        <v>0</v>
      </c>
      <c r="V246" s="1">
        <v>0</v>
      </c>
      <c r="W246" s="1">
        <v>0</v>
      </c>
      <c r="X246" s="1">
        <v>1</v>
      </c>
      <c r="Y246" s="1">
        <v>0</v>
      </c>
      <c r="Z246" s="1">
        <v>1</v>
      </c>
      <c r="AA246" s="1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5</v>
      </c>
      <c r="AG246" s="1">
        <v>5</v>
      </c>
      <c r="AH246" s="1">
        <v>3</v>
      </c>
      <c r="AI246" s="6">
        <v>0.254</v>
      </c>
      <c r="AJ246" s="7">
        <v>32.5</v>
      </c>
      <c r="AK246" s="7">
        <v>54</v>
      </c>
    </row>
  </sheetData>
  <conditionalFormatting sqref="AI3:AI246 AI1">
    <cfRule type="cellIs" dxfId="0" priority="6" operator="lessThan">
      <formula>0.35</formula>
    </cfRule>
  </conditionalFormatting>
  <conditionalFormatting sqref="AJ3:AJ246 AJ1">
    <cfRule type="cellIs" dxfId="0" priority="5" operator="lessThan">
      <formula>34</formula>
    </cfRule>
  </conditionalFormatting>
  <conditionalFormatting sqref="AK3:AK246 AK1">
    <cfRule type="cellIs" dxfId="0" priority="4" operator="greaterThan">
      <formula>176.8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5"/>
  <sheetViews>
    <sheetView workbookViewId="0">
      <selection activeCell="A5" sqref="A5"/>
    </sheetView>
  </sheetViews>
  <sheetFormatPr defaultColWidth="11" defaultRowHeight="15.6" outlineLevelRow="4"/>
  <sheetData>
    <row r="3" spans="1:1">
      <c r="A3" t="s">
        <v>86</v>
      </c>
    </row>
    <row r="4" spans="1:1">
      <c r="A4" t="s">
        <v>87</v>
      </c>
    </row>
    <row r="5" spans="1:1">
      <c r="A5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google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WPS_1691522074</cp:lastModifiedBy>
  <dcterms:created xsi:type="dcterms:W3CDTF">2020-04-21T05:26:00Z</dcterms:created>
  <dcterms:modified xsi:type="dcterms:W3CDTF">2025-12-03T14:26:54Z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E698D5F53F7F47BA8B0F4B9769EA2FD5_13</vt:lpwstr>
  </property>
  <property fmtid="{D5CDD505-2E9C-101B-9397-08002B2CF9AE}" pid="3" name="KSOProductBuildVer">
    <vt:lpwstr>2057-12.2.0.23149</vt:lpwstr>
  </property>
</Properties>
</file>